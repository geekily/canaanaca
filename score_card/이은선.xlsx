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F8F7007F-676B-4ABB-8897-3955335AC307}" xr6:coauthVersionLast="47" xr6:coauthVersionMax="47" xr10:uidLastSave="{00000000-0000-0000-0000-000000000000}"/>
  <bookViews>
    <workbookView xWindow="-28920" yWindow="-120" windowWidth="29040" windowHeight="15840" activeTab="4" xr2:uid="{00000000-000D-0000-FFFF-FFFF00000000}"/>
  </bookViews>
  <sheets>
    <sheet name="DB" sheetId="2" r:id="rId1"/>
    <sheet name="score_card" sheetId="5" r:id="rId2"/>
    <sheet name="mock_01" sheetId="6" r:id="rId3"/>
    <sheet name="mock_02" sheetId="7" r:id="rId4"/>
    <sheet name="mock_03" sheetId="8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8" l="1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L29" i="5"/>
  <c r="I29" i="5"/>
  <c r="F29" i="5"/>
  <c r="C29" i="5"/>
  <c r="L28" i="5"/>
  <c r="I28" i="5"/>
  <c r="F28" i="5"/>
  <c r="C28" i="5"/>
  <c r="L27" i="5"/>
  <c r="I27" i="5"/>
  <c r="F27" i="5"/>
  <c r="C27" i="5"/>
  <c r="L26" i="5"/>
  <c r="I26" i="5"/>
  <c r="F26" i="5"/>
  <c r="C26" i="5"/>
  <c r="L25" i="5"/>
  <c r="I25" i="5"/>
  <c r="F25" i="5"/>
  <c r="C25" i="5"/>
  <c r="L24" i="5"/>
  <c r="I24" i="5"/>
  <c r="F24" i="5"/>
  <c r="C24" i="5"/>
  <c r="L23" i="5"/>
  <c r="I23" i="5"/>
  <c r="F23" i="5"/>
  <c r="C23" i="5"/>
  <c r="C21" i="5"/>
  <c r="L20" i="5"/>
  <c r="I20" i="5"/>
  <c r="F20" i="5"/>
  <c r="C20" i="5"/>
  <c r="L19" i="5"/>
  <c r="I19" i="5"/>
  <c r="F19" i="5"/>
  <c r="C19" i="5"/>
  <c r="L18" i="5"/>
  <c r="I18" i="5"/>
  <c r="F18" i="5"/>
  <c r="C18" i="5"/>
  <c r="L17" i="5"/>
  <c r="I17" i="5"/>
  <c r="F17" i="5"/>
  <c r="C17" i="5"/>
  <c r="A17" i="5"/>
  <c r="B17" i="5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G19" i="2"/>
  <c r="G18" i="2"/>
  <c r="G17" i="2"/>
  <c r="G16" i="2"/>
  <c r="G15" i="2"/>
  <c r="G14" i="2"/>
  <c r="G13" i="2"/>
  <c r="G12" i="2"/>
  <c r="G11" i="2"/>
  <c r="G10" i="2"/>
  <c r="G9" i="2"/>
  <c r="G8" i="2"/>
  <c r="G4" i="2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3" i="7"/>
  <c r="C48" i="8" l="1"/>
  <c r="C49" i="8" s="1"/>
  <c r="E47" i="2"/>
  <c r="E41" i="2"/>
  <c r="E39" i="2"/>
  <c r="E33" i="2"/>
  <c r="E31" i="2"/>
  <c r="E25" i="2"/>
  <c r="E23" i="2"/>
  <c r="E17" i="2"/>
  <c r="E15" i="2"/>
  <c r="E9" i="2"/>
  <c r="E7" i="2"/>
  <c r="E8" i="2"/>
  <c r="E16" i="2"/>
  <c r="E24" i="2"/>
  <c r="E32" i="2"/>
  <c r="E40" i="2"/>
  <c r="E48" i="2"/>
  <c r="E10" i="2"/>
  <c r="E18" i="2"/>
  <c r="E26" i="2"/>
  <c r="E34" i="2"/>
  <c r="E42" i="2"/>
  <c r="E11" i="2"/>
  <c r="E19" i="2"/>
  <c r="E27" i="2"/>
  <c r="E35" i="2"/>
  <c r="E43" i="2"/>
  <c r="E12" i="2"/>
  <c r="E20" i="2"/>
  <c r="E28" i="2"/>
  <c r="E36" i="2"/>
  <c r="E44" i="2"/>
  <c r="E5" i="2"/>
  <c r="E13" i="2"/>
  <c r="E21" i="2"/>
  <c r="E29" i="2"/>
  <c r="E37" i="2"/>
  <c r="E45" i="2"/>
  <c r="E6" i="2"/>
  <c r="E14" i="2"/>
  <c r="E22" i="2"/>
  <c r="E30" i="2"/>
  <c r="E38" i="2"/>
  <c r="E46" i="2"/>
  <c r="C48" i="6"/>
  <c r="E4" i="2"/>
  <c r="C48" i="7"/>
  <c r="C49" i="7" l="1"/>
  <c r="G5" i="2"/>
  <c r="C49" i="6"/>
  <c r="G6" i="2"/>
  <c r="G7" i="2"/>
</calcChain>
</file>

<file path=xl/sharedStrings.xml><?xml version="1.0" encoding="utf-8"?>
<sst xmlns="http://schemas.openxmlformats.org/spreadsheetml/2006/main" count="95" uniqueCount="69">
  <si>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</si>
  <si>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</si>
  <si>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</si>
  <si>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</si>
  <si>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</si>
  <si>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문제 점수</t>
    <phoneticPr fontId="1" type="noConversion"/>
  </si>
  <si>
    <t>획득 점수</t>
    <phoneticPr fontId="1" type="noConversion"/>
  </si>
  <si>
    <t>등급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</si>
  <si>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</si>
  <si>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</si>
  <si>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</si>
  <si>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</si>
  <si>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</si>
  <si>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</si>
  <si>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</si>
  <si>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</si>
  <si>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</si>
  <si>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</si>
  <si>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</si>
  <si>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</si>
  <si>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</si>
  <si>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</si>
  <si>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</si>
  <si>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</si>
  <si>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</si>
  <si>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</si>
  <si>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</si>
  <si>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목적</t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</si>
  <si>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</si>
  <si>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</si>
  <si>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</si>
  <si>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</si>
  <si>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</si>
  <si>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</si>
  <si>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</si>
  <si>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</si>
  <si>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</si>
  <si>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</si>
  <si>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</si>
  <si>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</si>
  <si>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</si>
  <si>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</si>
  <si>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점수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</si>
  <si>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</si>
  <si>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</si>
  <si>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</si>
  <si>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</si>
  <si>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</si>
  <si>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</si>
  <si>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</si>
  <si>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</si>
  <si>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</si>
  <si>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mock_01</t>
    <phoneticPr fontId="1" type="noConversion"/>
  </si>
  <si>
    <t>mock_03</t>
  </si>
  <si>
    <t>mock_04</t>
  </si>
  <si>
    <t>mock_05</t>
  </si>
  <si>
    <t>mock_06</t>
  </si>
  <si>
    <t>mock_07</t>
  </si>
  <si>
    <t>mock_08</t>
  </si>
  <si>
    <t>mock_09</t>
  </si>
  <si>
    <t>mock_02</t>
  </si>
  <si>
    <t>mock_10</t>
  </si>
  <si>
    <t>mock_11</t>
  </si>
  <si>
    <t>mock_12</t>
  </si>
  <si>
    <t>mock_13</t>
  </si>
  <si>
    <t>mock_14</t>
  </si>
  <si>
    <t>mock_15</t>
  </si>
  <si>
    <t>mock_00</t>
    <phoneticPr fontId="1" type="noConversion"/>
  </si>
  <si>
    <t>이은선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</si>
</sst>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</cellXfs>
  <cellStyles count="1">
    <cellStyle name="표준" xfId="0" builtinId="0"/>
  </cellStyles>
  <dxfs count="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이은선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DB!$F$4:$F$19</c:f>
              <c:strCache>
                <c:ptCount val="16"/>
                <c:pt idx="0">
                  <c:v>mock_00</c:v>
                </c:pt>
                <c:pt idx="1">
                  <c:v>mock_01</c:v>
                </c:pt>
                <c:pt idx="2">
                  <c:v>mock_02</c:v>
                </c:pt>
                <c:pt idx="3">
                  <c:v>mock_03</c:v>
                </c:pt>
                <c:pt idx="4">
                  <c:v>mock_04</c:v>
                </c:pt>
                <c:pt idx="5">
                  <c:v>mock_05</c:v>
                </c:pt>
                <c:pt idx="6">
                  <c:v>mock_06</c:v>
                </c:pt>
                <c:pt idx="7">
                  <c:v>mock_07</c:v>
                </c:pt>
                <c:pt idx="8">
                  <c:v>mock_08</c:v>
                </c:pt>
                <c:pt idx="9">
                  <c:v>mock_09</c:v>
                </c:pt>
                <c:pt idx="10">
                  <c:v>mock_10</c:v>
                </c:pt>
                <c:pt idx="11">
                  <c:v>mock_11</c:v>
                </c:pt>
                <c:pt idx="12">
                  <c:v>mock_12</c:v>
                </c:pt>
                <c:pt idx="13">
                  <c:v>mock_13</c:v>
                </c:pt>
                <c:pt idx="14">
                  <c:v>mock_14</c:v>
                </c:pt>
                <c:pt idx="15">
                  <c:v>mock_15</c:v>
                </c:pt>
              </c:strCache>
            </c:strRef>
          </c:cat>
          <c:val>
            <c:numRef>
              <c:f>DB!$G$4:$G$19</c:f>
              <c:numCache>
                <c:formatCode>General</c:formatCode>
                <c:ptCount val="16"/>
                <c:pt idx="0">
                  <c:v>0</c:v>
                </c:pt>
                <c:pt idx="1">
                  <c:v>86</c:v>
                </c:pt>
                <c:pt idx="2">
                  <c:v>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D2" sqref="D2:E2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27</v>
      </c>
      <c r="D1" s="20" t="s">
        <v>68</v>
      </c>
      <c r="E1" s="20"/>
      <c r="F1" s="20"/>
      <c r="G1" s="20"/>
    </row>
    <row r="2" spans="1:12" x14ac:dyDescent="0.4">
      <c r="A2" s="2">
        <v>2</v>
      </c>
      <c r="B2" s="1" t="s">
        <v>28</v>
      </c>
      <c r="D2" s="19" t="s">
        <v>46</v>
      </c>
      <c r="E2" s="19"/>
      <c r="F2" s="19" t="s">
        <v>49</v>
      </c>
      <c r="G2" s="19"/>
      <c r="I2" s="18"/>
      <c r="J2" s="18"/>
      <c r="K2" s="18"/>
      <c r="L2" s="18"/>
    </row>
    <row r="3" spans="1:12" x14ac:dyDescent="0.4">
      <c r="A3" s="2">
        <v>3</v>
      </c>
      <c r="B3" s="1" t="s">
        <v>29</v>
      </c>
      <c r="D3" s="17" t="s">
        <v>47</v>
      </c>
      <c r="E3" s="17" t="s">
        <v>48</v>
      </c>
      <c r="F3" s="17" t="s">
        <v>50</v>
      </c>
      <c r="G3" s="17" t="s">
        <v>51</v>
      </c>
    </row>
    <row r="4" spans="1:12" x14ac:dyDescent="0.4">
      <c r="A4" s="2">
        <v>4</v>
      </c>
      <c r="B4" s="1" t="s">
        <v>30</v>
      </c>
      <c r="D4" s="3">
        <v>1</v>
      </c>
      <c r="E4" s="4">
        <f>IF(mock_02!E3=0,1,0) + IF(mock_01!E3=0,1,0)</f>
        <v>0</v>
      </c>
      <c r="F4" s="4" t="s">
        <v>67</v>
      </c>
      <c r="G4" s="4">
        <f>IFERROR([1]mock_00!C48,0)</f>
        <v>0</v>
      </c>
    </row>
    <row r="5" spans="1:12" x14ac:dyDescent="0.4">
      <c r="A5" s="2">
        <v>5</v>
      </c>
      <c r="B5" s="1" t="s">
        <v>31</v>
      </c>
      <c r="D5" s="3">
        <v>2</v>
      </c>
      <c r="E5" s="4">
        <f>IF(mock_02!E4=0,1,0) + IF(mock_01!E4=0,1,0)</f>
        <v>0</v>
      </c>
      <c r="F5" s="4" t="s">
        <v>52</v>
      </c>
      <c r="G5" s="4">
        <f>IFERROR(mock_02!C48,0)</f>
        <v>86</v>
      </c>
    </row>
    <row r="6" spans="1:12" x14ac:dyDescent="0.4">
      <c r="A6" s="2">
        <v>6</v>
      </c>
      <c r="B6" s="1" t="s">
        <v>32</v>
      </c>
      <c r="D6" s="3">
        <v>3</v>
      </c>
      <c r="E6" s="4">
        <f>IF(mock_02!E5=0,1,0) + IF(mock_01!E5=0,1,0)</f>
        <v>0</v>
      </c>
      <c r="F6" s="4" t="s">
        <v>60</v>
      </c>
      <c r="G6" s="4">
        <f>IFERROR(mock_01!C48,0)</f>
        <v>84</v>
      </c>
    </row>
    <row r="7" spans="1:12" x14ac:dyDescent="0.4">
      <c r="A7" s="2">
        <v>7</v>
      </c>
      <c r="B7" s="1" t="s">
        <v>33</v>
      </c>
      <c r="D7" s="3">
        <v>4</v>
      </c>
      <c r="E7" s="4">
        <f>IF(mock_02!E6=0,1,0) + IF(mock_01!E6=0,1,0)</f>
        <v>0</v>
      </c>
      <c r="F7" s="4" t="s">
        <v>53</v>
      </c>
      <c r="G7" s="4">
        <f>IFERROR(#REF!,0)</f>
        <v>0</v>
      </c>
    </row>
    <row r="8" spans="1:12" x14ac:dyDescent="0.4">
      <c r="A8" s="2">
        <v>8</v>
      </c>
      <c r="B8" s="1" t="s">
        <v>34</v>
      </c>
      <c r="D8" s="3">
        <v>5</v>
      </c>
      <c r="E8" s="4">
        <f>IF(mock_02!E7=0,1,0) + IF(mock_01!E7=0,1,0)</f>
        <v>0</v>
      </c>
      <c r="F8" s="4" t="s">
        <v>54</v>
      </c>
      <c r="G8" s="4">
        <f>IFERROR([2]mock_04!C48,0)</f>
        <v>0</v>
      </c>
    </row>
    <row r="9" spans="1:12" x14ac:dyDescent="0.4">
      <c r="A9" s="2">
        <v>9</v>
      </c>
      <c r="B9" s="1" t="s">
        <v>35</v>
      </c>
      <c r="D9" s="3">
        <v>6</v>
      </c>
      <c r="E9" s="4">
        <f>IF(mock_02!E8=0,1,0) + IF(mock_01!E8=0,1,0)</f>
        <v>1</v>
      </c>
      <c r="F9" s="4" t="s">
        <v>55</v>
      </c>
      <c r="G9" s="4">
        <f>IFERROR([3]mock_05!C48,0)</f>
        <v>0</v>
      </c>
    </row>
    <row r="10" spans="1:12" x14ac:dyDescent="0.4">
      <c r="A10" s="2">
        <v>10</v>
      </c>
      <c r="B10" s="1" t="s">
        <v>36</v>
      </c>
      <c r="D10" s="3">
        <v>7</v>
      </c>
      <c r="E10" s="4">
        <f>IF(mock_02!E9=0,1,0) + IF(mock_01!E9=0,1,0)</f>
        <v>0</v>
      </c>
      <c r="F10" s="4" t="s">
        <v>56</v>
      </c>
      <c r="G10" s="4">
        <f>IFERROR([4]mock_06!C48,0)</f>
        <v>0</v>
      </c>
    </row>
    <row r="11" spans="1:12" x14ac:dyDescent="0.4">
      <c r="A11" s="2">
        <v>11</v>
      </c>
      <c r="B11" s="1" t="s">
        <v>37</v>
      </c>
      <c r="D11" s="3">
        <v>8</v>
      </c>
      <c r="E11" s="4">
        <f>IF(mock_02!E10=0,1,0) + IF(mock_01!E10=0,1,0)</f>
        <v>0</v>
      </c>
      <c r="F11" s="4" t="s">
        <v>57</v>
      </c>
      <c r="G11" s="4">
        <f>IFERROR([5]mock_07!C48,0)</f>
        <v>0</v>
      </c>
    </row>
    <row r="12" spans="1:12" x14ac:dyDescent="0.4">
      <c r="A12" s="2">
        <v>12</v>
      </c>
      <c r="B12" s="1" t="s">
        <v>37</v>
      </c>
      <c r="D12" s="3">
        <v>9</v>
      </c>
      <c r="E12" s="4">
        <f>IF(mock_02!E11=0,1,0) + IF(mock_01!E11=0,1,0)</f>
        <v>0</v>
      </c>
      <c r="F12" s="4" t="s">
        <v>58</v>
      </c>
      <c r="G12" s="4">
        <f>IFERROR([6]mock_08!C48,0)</f>
        <v>0</v>
      </c>
    </row>
    <row r="13" spans="1:12" x14ac:dyDescent="0.4">
      <c r="A13" s="2">
        <v>13</v>
      </c>
      <c r="B13" s="1" t="s">
        <v>39</v>
      </c>
      <c r="D13" s="3">
        <v>10</v>
      </c>
      <c r="E13" s="4">
        <f>IF(mock_02!E12=0,1,0) + IF(mock_01!E12=0,1,0)</f>
        <v>0</v>
      </c>
      <c r="F13" s="4" t="s">
        <v>59</v>
      </c>
      <c r="G13" s="4">
        <f>IFERROR([7]mock_09!C48,0)</f>
        <v>0</v>
      </c>
    </row>
    <row r="14" spans="1:12" x14ac:dyDescent="0.4">
      <c r="A14" s="2">
        <v>14</v>
      </c>
      <c r="B14" s="1" t="s">
        <v>39</v>
      </c>
      <c r="D14" s="3">
        <v>11</v>
      </c>
      <c r="E14" s="4">
        <f>IF(mock_02!E13=0,1,0) + IF(mock_01!E13=0,1,0)</f>
        <v>0</v>
      </c>
      <c r="F14" s="4" t="s">
        <v>61</v>
      </c>
      <c r="G14" s="4">
        <f>IFERROR([8]mock_10!C48,0)</f>
        <v>0</v>
      </c>
    </row>
    <row r="15" spans="1:12" x14ac:dyDescent="0.4">
      <c r="A15" s="2">
        <v>15</v>
      </c>
      <c r="B15" s="1" t="s">
        <v>40</v>
      </c>
      <c r="D15" s="3">
        <v>12</v>
      </c>
      <c r="E15" s="4">
        <f>IF(mock_02!E14=0,1,0) + IF(mock_01!E14=0,1,0)</f>
        <v>0</v>
      </c>
      <c r="F15" s="4" t="s">
        <v>62</v>
      </c>
      <c r="G15" s="4">
        <f>IFERROR([9]mock_11!C48,0)</f>
        <v>0</v>
      </c>
    </row>
    <row r="16" spans="1:12" x14ac:dyDescent="0.4">
      <c r="A16" s="2">
        <v>16</v>
      </c>
      <c r="B16" s="1" t="s">
        <v>38</v>
      </c>
      <c r="D16" s="3">
        <v>13</v>
      </c>
      <c r="E16" s="4">
        <f>IF(mock_02!E15=0,1,0) + IF(mock_01!E15=0,1,0)</f>
        <v>0</v>
      </c>
      <c r="F16" s="4" t="s">
        <v>63</v>
      </c>
      <c r="G16" s="4">
        <f>IFERROR([10]mock_12!C48,0)</f>
        <v>0</v>
      </c>
    </row>
    <row r="17" spans="1:7" x14ac:dyDescent="0.4">
      <c r="A17" s="2">
        <v>17</v>
      </c>
      <c r="B17" s="1" t="s">
        <v>38</v>
      </c>
      <c r="D17" s="3">
        <v>14</v>
      </c>
      <c r="E17" s="4">
        <f>IF(mock_02!E16=0,1,0) + IF(mock_01!E16=0,1,0)</f>
        <v>0</v>
      </c>
      <c r="F17" s="4" t="s">
        <v>64</v>
      </c>
      <c r="G17" s="4">
        <f>IFERROR([11]mock_13!C48,0)</f>
        <v>0</v>
      </c>
    </row>
    <row r="18" spans="1:7" x14ac:dyDescent="0.4">
      <c r="A18" s="2">
        <v>18</v>
      </c>
      <c r="B18" s="1" t="s">
        <v>8</v>
      </c>
      <c r="D18" s="3">
        <v>15</v>
      </c>
      <c r="E18" s="4">
        <f>IF(mock_02!E17=0,1,0) + IF(mock_01!E17=0,1,0)</f>
        <v>0</v>
      </c>
      <c r="F18" s="4" t="s">
        <v>65</v>
      </c>
      <c r="G18" s="4">
        <f>IFERROR([12]mock_14!C48,0)</f>
        <v>0</v>
      </c>
    </row>
    <row r="19" spans="1:7" x14ac:dyDescent="0.4">
      <c r="A19" s="2">
        <v>19</v>
      </c>
      <c r="B19" s="1" t="s">
        <v>9</v>
      </c>
      <c r="D19" s="3">
        <v>16</v>
      </c>
      <c r="E19" s="4">
        <f>IF(mock_02!E18=0,1,0) + IF(mock_01!E18=0,1,0)</f>
        <v>0</v>
      </c>
      <c r="F19" s="4" t="s">
        <v>66</v>
      </c>
      <c r="G19" s="4">
        <f>IFERROR([13]mock_15!C48,0)</f>
        <v>0</v>
      </c>
    </row>
    <row r="20" spans="1:7" x14ac:dyDescent="0.4">
      <c r="A20" s="2">
        <v>20</v>
      </c>
      <c r="B20" s="1" t="s">
        <v>10</v>
      </c>
      <c r="D20" s="3">
        <v>17</v>
      </c>
      <c r="E20" s="4">
        <f>IF(mock_02!E19=0,1,0) + IF(mock_01!E19=0,1,0)</f>
        <v>0</v>
      </c>
    </row>
    <row r="21" spans="1:7" x14ac:dyDescent="0.4">
      <c r="A21" s="2">
        <v>21</v>
      </c>
      <c r="B21" s="1" t="s">
        <v>21</v>
      </c>
      <c r="D21" s="3">
        <v>18</v>
      </c>
      <c r="E21" s="4">
        <f>IF(mock_02!E20=0,1,0) + IF(mock_01!E20=0,1,0)</f>
        <v>0</v>
      </c>
    </row>
    <row r="22" spans="1:7" x14ac:dyDescent="0.4">
      <c r="A22" s="2">
        <v>22</v>
      </c>
      <c r="B22" s="1" t="s">
        <v>22</v>
      </c>
      <c r="D22" s="3">
        <v>19</v>
      </c>
      <c r="E22" s="4">
        <f>IF(mock_02!E21=0,1,0) + IF(mock_01!E21=0,1,0)</f>
        <v>0</v>
      </c>
    </row>
    <row r="23" spans="1:7" x14ac:dyDescent="0.4">
      <c r="A23" s="2">
        <v>23</v>
      </c>
      <c r="B23" s="1" t="s">
        <v>23</v>
      </c>
      <c r="D23" s="3">
        <v>20</v>
      </c>
      <c r="E23" s="4">
        <f>IF(mock_02!E22=0,1,0) + IF(mock_01!E22=0,1,0)</f>
        <v>0</v>
      </c>
    </row>
    <row r="24" spans="1:7" x14ac:dyDescent="0.4">
      <c r="A24" s="2">
        <v>24</v>
      </c>
      <c r="B24" s="1" t="s">
        <v>24</v>
      </c>
      <c r="D24" s="3">
        <v>21</v>
      </c>
      <c r="E24" s="4">
        <f>IF(mock_02!E23=0,1,0) + IF(mock_01!E23=0,1,0)</f>
        <v>0</v>
      </c>
    </row>
    <row r="25" spans="1:7" x14ac:dyDescent="0.4">
      <c r="A25" s="2">
        <v>25</v>
      </c>
      <c r="B25" s="1" t="s">
        <v>12</v>
      </c>
      <c r="D25" s="3">
        <v>22</v>
      </c>
      <c r="E25" s="4">
        <f>IF(mock_02!E24=0,1,0) + IF(mock_01!E24=0,1,0)</f>
        <v>0</v>
      </c>
    </row>
    <row r="26" spans="1:7" x14ac:dyDescent="0.4">
      <c r="A26" s="2">
        <v>26</v>
      </c>
      <c r="B26" s="1" t="s">
        <v>25</v>
      </c>
      <c r="D26" s="3">
        <v>23</v>
      </c>
      <c r="E26" s="4">
        <f>IF(mock_02!E25=0,1,0) + IF(mock_01!E25=0,1,0)</f>
        <v>0</v>
      </c>
    </row>
    <row r="27" spans="1:7" x14ac:dyDescent="0.4">
      <c r="A27" s="2">
        <v>27</v>
      </c>
      <c r="B27" s="1" t="s">
        <v>26</v>
      </c>
      <c r="D27" s="3">
        <v>24</v>
      </c>
      <c r="E27" s="4">
        <f>IF(mock_02!E26=0,1,0) + IF(mock_01!E26=0,1,0)</f>
        <v>1</v>
      </c>
    </row>
    <row r="28" spans="1:7" x14ac:dyDescent="0.4">
      <c r="A28" s="2">
        <v>28</v>
      </c>
      <c r="B28" s="1" t="s">
        <v>26</v>
      </c>
      <c r="D28" s="3">
        <v>25</v>
      </c>
      <c r="E28" s="4">
        <f>IF(mock_02!E27=0,1,0) + IF(mock_01!E27=0,1,0)</f>
        <v>0</v>
      </c>
    </row>
    <row r="29" spans="1:7" x14ac:dyDescent="0.4">
      <c r="A29" s="2">
        <v>29</v>
      </c>
      <c r="B29" s="1" t="s">
        <v>11</v>
      </c>
      <c r="D29" s="3">
        <v>26</v>
      </c>
      <c r="E29" s="4">
        <f>IF(mock_02!E28=0,1,0) + IF(mock_01!E28=0,1,0)</f>
        <v>0</v>
      </c>
    </row>
    <row r="30" spans="1:7" x14ac:dyDescent="0.4">
      <c r="A30" s="2">
        <v>30</v>
      </c>
      <c r="B30" s="1" t="s">
        <v>13</v>
      </c>
      <c r="D30" s="3">
        <v>27</v>
      </c>
      <c r="E30" s="4">
        <f>IF(mock_02!E29=0,1,0) + IF(mock_01!E29=0,1,0)</f>
        <v>0</v>
      </c>
    </row>
    <row r="31" spans="1:7" x14ac:dyDescent="0.4">
      <c r="A31" s="2">
        <v>31</v>
      </c>
      <c r="B31" s="1" t="s">
        <v>3</v>
      </c>
      <c r="D31" s="3">
        <v>28</v>
      </c>
      <c r="E31" s="4">
        <f>IF(mock_02!E30=0,1,0) + IF(mock_01!E30=0,1,0)</f>
        <v>0</v>
      </c>
    </row>
    <row r="32" spans="1:7" x14ac:dyDescent="0.4">
      <c r="A32" s="2">
        <v>32</v>
      </c>
      <c r="B32" s="1" t="s">
        <v>3</v>
      </c>
      <c r="D32" s="3">
        <v>29</v>
      </c>
      <c r="E32" s="4">
        <f>IF(mock_02!E31=0,1,0) + IF(mock_01!E31=0,1,0)</f>
        <v>1</v>
      </c>
    </row>
    <row r="33" spans="1:5" x14ac:dyDescent="0.4">
      <c r="A33" s="2">
        <v>33</v>
      </c>
      <c r="B33" s="1" t="s">
        <v>3</v>
      </c>
      <c r="D33" s="3">
        <v>30</v>
      </c>
      <c r="E33" s="4">
        <f>IF(mock_02!E32=0,1,0) + IF(mock_01!E32=0,1,0)</f>
        <v>0</v>
      </c>
    </row>
    <row r="34" spans="1:5" x14ac:dyDescent="0.4">
      <c r="A34" s="2">
        <v>34</v>
      </c>
      <c r="B34" s="1" t="s">
        <v>3</v>
      </c>
      <c r="D34" s="3">
        <v>31</v>
      </c>
      <c r="E34" s="4">
        <f>IF(mock_02!E33=0,1,0) + IF(mock_01!E33=0,1,0)</f>
        <v>0</v>
      </c>
    </row>
    <row r="35" spans="1:5" x14ac:dyDescent="0.4">
      <c r="A35" s="2">
        <v>35</v>
      </c>
      <c r="B35" s="1" t="s">
        <v>14</v>
      </c>
      <c r="D35" s="3">
        <v>32</v>
      </c>
      <c r="E35" s="4">
        <f>IF(mock_02!E34=0,1,0) + IF(mock_01!E34=0,1,0)</f>
        <v>1</v>
      </c>
    </row>
    <row r="36" spans="1:5" x14ac:dyDescent="0.4">
      <c r="A36" s="2">
        <v>36</v>
      </c>
      <c r="B36" s="1" t="s">
        <v>15</v>
      </c>
      <c r="D36" s="3">
        <v>33</v>
      </c>
      <c r="E36" s="4">
        <f>IF(mock_02!E35=0,1,0) + IF(mock_01!E35=0,1,0)</f>
        <v>1</v>
      </c>
    </row>
    <row r="37" spans="1:5" x14ac:dyDescent="0.4">
      <c r="A37" s="2">
        <v>37</v>
      </c>
      <c r="B37" s="1" t="s">
        <v>15</v>
      </c>
      <c r="D37" s="3">
        <v>34</v>
      </c>
      <c r="E37" s="4">
        <f>IF(mock_02!E36=0,1,0) + IF(mock_01!E36=0,1,0)</f>
        <v>1</v>
      </c>
    </row>
    <row r="38" spans="1:5" x14ac:dyDescent="0.4">
      <c r="A38" s="2">
        <v>38</v>
      </c>
      <c r="B38" s="1" t="s">
        <v>16</v>
      </c>
      <c r="D38" s="3">
        <v>35</v>
      </c>
      <c r="E38" s="4">
        <f>IF(mock_02!E37=0,1,0) + IF(mock_01!E37=0,1,0)</f>
        <v>0</v>
      </c>
    </row>
    <row r="39" spans="1:5" x14ac:dyDescent="0.4">
      <c r="A39" s="2">
        <v>39</v>
      </c>
      <c r="B39" s="1" t="s">
        <v>16</v>
      </c>
      <c r="D39" s="3">
        <v>36</v>
      </c>
      <c r="E39" s="4">
        <f>IF(mock_02!E38=0,1,0) + IF(mock_01!E38=0,1,0)</f>
        <v>0</v>
      </c>
    </row>
    <row r="40" spans="1:5" x14ac:dyDescent="0.4">
      <c r="A40" s="2">
        <v>40</v>
      </c>
      <c r="B40" s="1" t="s">
        <v>17</v>
      </c>
      <c r="D40" s="3">
        <v>37</v>
      </c>
      <c r="E40" s="4">
        <f>IF(mock_02!E39=0,1,0) + IF(mock_01!E39=0,1,0)</f>
        <v>1</v>
      </c>
    </row>
    <row r="41" spans="1:5" x14ac:dyDescent="0.4">
      <c r="A41" s="2">
        <v>41</v>
      </c>
      <c r="B41" s="1" t="s">
        <v>18</v>
      </c>
      <c r="D41" s="3">
        <v>38</v>
      </c>
      <c r="E41" s="4">
        <f>IF(mock_02!E40=0,1,0) + IF(mock_01!E40=0,1,0)</f>
        <v>0</v>
      </c>
    </row>
    <row r="42" spans="1:5" x14ac:dyDescent="0.4">
      <c r="A42" s="2">
        <v>42</v>
      </c>
      <c r="B42" s="1" t="s">
        <v>19</v>
      </c>
      <c r="D42" s="3">
        <v>39</v>
      </c>
      <c r="E42" s="4">
        <f>IF(mock_02!E41=0,1,0) + IF(mock_01!E41=0,1,0)</f>
        <v>2</v>
      </c>
    </row>
    <row r="43" spans="1:5" x14ac:dyDescent="0.4">
      <c r="A43" s="2">
        <v>43</v>
      </c>
      <c r="B43" s="1" t="s">
        <v>4</v>
      </c>
      <c r="D43" s="3">
        <v>40</v>
      </c>
      <c r="E43" s="4">
        <f>IF(mock_02!E42=0,1,0) + IF(mock_01!E42=0,1,0)</f>
        <v>0</v>
      </c>
    </row>
    <row r="44" spans="1:5" x14ac:dyDescent="0.4">
      <c r="A44" s="2">
        <v>44</v>
      </c>
      <c r="B44" s="1" t="s">
        <v>20</v>
      </c>
      <c r="D44" s="3">
        <v>41</v>
      </c>
      <c r="E44" s="4">
        <f>IF(mock_02!E43=0,1,0) + IF(mock_01!E43=0,1,0)</f>
        <v>2</v>
      </c>
    </row>
    <row r="45" spans="1:5" x14ac:dyDescent="0.4">
      <c r="A45" s="2">
        <v>45</v>
      </c>
      <c r="B45" s="1" t="s">
        <v>41</v>
      </c>
      <c r="D45" s="3">
        <v>42</v>
      </c>
      <c r="E45" s="4">
        <f>IF(mock_02!E44=0,1,0) + IF(mock_01!E44=0,1,0)</f>
        <v>1</v>
      </c>
    </row>
    <row r="46" spans="1:5" x14ac:dyDescent="0.4">
      <c r="D46" s="3">
        <v>43</v>
      </c>
      <c r="E46" s="4">
        <f>IF(mock_02!E45=0,1,0) + IF(mock_01!E45=0,1,0)</f>
        <v>0</v>
      </c>
    </row>
    <row r="47" spans="1:5" x14ac:dyDescent="0.4">
      <c r="D47" s="3">
        <v>44</v>
      </c>
      <c r="E47" s="4">
        <f>IF(mock_02!E46=0,1,0) + IF(mock_01!E46=0,1,0)</f>
        <v>0</v>
      </c>
    </row>
    <row r="48" spans="1:5" x14ac:dyDescent="0.4">
      <c r="D48" s="3">
        <v>45</v>
      </c>
      <c r="E48" s="4">
        <f>IF(mock_02!E47=0,1,0) + IF(mock_01!E47=0,1,0)</f>
        <v>1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topLeftCell="A19" zoomScale="115" zoomScaleNormal="115" workbookViewId="0">
      <selection activeCell="H29" sqref="H29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25" t="s">
        <v>45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x14ac:dyDescent="0.4">
      <c r="A16" s="21" t="s">
        <v>43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4">
      <c r="A17" s="16">
        <f>DB!A1</f>
        <v>1</v>
      </c>
      <c r="B17" s="4" t="str">
        <f>DB!B1</f>
        <v>목적</v>
      </c>
      <c r="C17" s="4">
        <f>DB!E4</f>
        <v>0</v>
      </c>
      <c r="D17" s="16">
        <f>DB!A2</f>
        <v>2</v>
      </c>
      <c r="E17" s="4" t="str">
        <f>DB!B2</f>
        <v>의견</v>
      </c>
      <c r="F17" s="4">
        <f>DB!E5</f>
        <v>0</v>
      </c>
      <c r="G17" s="16">
        <f>DB!A3</f>
        <v>3</v>
      </c>
      <c r="H17" s="4" t="str">
        <f>DB!B3</f>
        <v>관계</v>
      </c>
      <c r="I17" s="4">
        <f>DB!E6</f>
        <v>0</v>
      </c>
      <c r="J17" s="16">
        <f>DB!A4</f>
        <v>4</v>
      </c>
      <c r="K17" s="4" t="str">
        <f>DB!B4</f>
        <v>그림 내용</v>
      </c>
      <c r="L17" s="4">
        <f>DB!E7</f>
        <v>0</v>
      </c>
    </row>
    <row r="18" spans="1:12" x14ac:dyDescent="0.4">
      <c r="A18" s="16">
        <f>DB!A5</f>
        <v>5</v>
      </c>
      <c r="B18" s="4" t="str">
        <f>DB!B5</f>
        <v>할 일</v>
      </c>
      <c r="C18" s="4">
        <f>DB!E8</f>
        <v>0</v>
      </c>
      <c r="D18" s="16">
        <f>DB!A6</f>
        <v>6</v>
      </c>
      <c r="E18" s="4" t="str">
        <f>DB!B6</f>
        <v>숫자 정보</v>
      </c>
      <c r="F18" s="4">
        <f>DB!E9</f>
        <v>1</v>
      </c>
      <c r="G18" s="16">
        <f>DB!A7</f>
        <v>7</v>
      </c>
      <c r="H18" s="4" t="str">
        <f>DB!B7</f>
        <v>이유</v>
      </c>
      <c r="I18" s="4">
        <f>DB!E10</f>
        <v>0</v>
      </c>
      <c r="J18" s="16">
        <f>DB!A8</f>
        <v>8</v>
      </c>
      <c r="K18" s="4" t="str">
        <f>DB!B8</f>
        <v>언급 유무</v>
      </c>
      <c r="L18" s="4">
        <f>DB!E11</f>
        <v>0</v>
      </c>
    </row>
    <row r="19" spans="1:12" x14ac:dyDescent="0.4">
      <c r="A19" s="16">
        <f>DB!A9</f>
        <v>9</v>
      </c>
      <c r="B19" s="4" t="str">
        <f>DB!B9</f>
        <v>담화 내용</v>
      </c>
      <c r="C19" s="4">
        <f>DB!E12</f>
        <v>0</v>
      </c>
      <c r="D19" s="16">
        <f>DB!A10</f>
        <v>10</v>
      </c>
      <c r="E19" s="4" t="str">
        <f>DB!B10</f>
        <v>도표 내용</v>
      </c>
      <c r="F19" s="4">
        <f>DB!E13</f>
        <v>0</v>
      </c>
      <c r="G19" s="16">
        <f>DB!A11</f>
        <v>11</v>
      </c>
      <c r="H19" s="4" t="str">
        <f>DB!B11</f>
        <v>짧은 대화 응답</v>
      </c>
      <c r="I19" s="4">
        <f>DB!E14</f>
        <v>0</v>
      </c>
      <c r="J19" s="16">
        <f>DB!A12</f>
        <v>12</v>
      </c>
      <c r="K19" s="4" t="str">
        <f>DB!B12</f>
        <v>짧은 대화 응답</v>
      </c>
      <c r="L19" s="4">
        <f>DB!E15</f>
        <v>0</v>
      </c>
    </row>
    <row r="20" spans="1:12" x14ac:dyDescent="0.4">
      <c r="A20" s="16">
        <f>DB!A13</f>
        <v>13</v>
      </c>
      <c r="B20" s="4" t="str">
        <f>DB!B13</f>
        <v>긴 대화 응답</v>
      </c>
      <c r="C20" s="4">
        <f>DB!E16</f>
        <v>0</v>
      </c>
      <c r="D20" s="16">
        <f>DB!A14</f>
        <v>14</v>
      </c>
      <c r="E20" s="4" t="str">
        <f>DB!B14</f>
        <v>긴 대화 응답</v>
      </c>
      <c r="F20" s="4">
        <f>DB!E17</f>
        <v>0</v>
      </c>
      <c r="G20" s="16">
        <f>DB!A15</f>
        <v>15</v>
      </c>
      <c r="H20" s="4" t="str">
        <f>DB!B15</f>
        <v>상황 적절 응답</v>
      </c>
      <c r="I20" s="4">
        <f>DB!E18</f>
        <v>0</v>
      </c>
      <c r="J20" s="16">
        <f>DB!A16</f>
        <v>16</v>
      </c>
      <c r="K20" s="4" t="str">
        <f>DB!B16</f>
        <v>복합문항</v>
      </c>
      <c r="L20" s="4">
        <f>DB!E19</f>
        <v>0</v>
      </c>
    </row>
    <row r="21" spans="1:12" x14ac:dyDescent="0.4">
      <c r="A21" s="16">
        <f>DB!A17</f>
        <v>17</v>
      </c>
      <c r="B21" s="4" t="str">
        <f>DB!B17</f>
        <v>복합문항</v>
      </c>
      <c r="C21" s="4">
        <f>DB!E20</f>
        <v>0</v>
      </c>
      <c r="D21" s="26"/>
      <c r="E21" s="27"/>
      <c r="F21" s="27"/>
      <c r="G21" s="27"/>
      <c r="H21" s="27"/>
      <c r="I21" s="27"/>
      <c r="J21" s="27"/>
      <c r="K21" s="27"/>
      <c r="L21" s="28"/>
    </row>
    <row r="22" spans="1:12" x14ac:dyDescent="0.4">
      <c r="A22" s="22" t="s">
        <v>44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4">
      <c r="A23" s="16">
        <f>DB!A18</f>
        <v>18</v>
      </c>
      <c r="B23" s="4" t="str">
        <f>DB!B18</f>
        <v>글의 목적</v>
      </c>
      <c r="C23" s="4">
        <f>DB!E21</f>
        <v>0</v>
      </c>
      <c r="D23" s="16">
        <f>DB!A19</f>
        <v>19</v>
      </c>
      <c r="E23" s="4" t="str">
        <f>DB!B19</f>
        <v>심경 변화</v>
      </c>
      <c r="F23" s="4">
        <f>DB!E22</f>
        <v>0</v>
      </c>
      <c r="G23" s="16">
        <f>DB!A20</f>
        <v>20</v>
      </c>
      <c r="H23" s="4" t="str">
        <f>DB!B20</f>
        <v>필자의 주장</v>
      </c>
      <c r="I23" s="4">
        <f>DB!E23</f>
        <v>0</v>
      </c>
      <c r="J23" s="16">
        <f>DB!A21</f>
        <v>21</v>
      </c>
      <c r="K23" s="4" t="str">
        <f>DB!B21</f>
        <v>함축 의미</v>
      </c>
      <c r="L23" s="4">
        <f>DB!E24</f>
        <v>0</v>
      </c>
    </row>
    <row r="24" spans="1:12" x14ac:dyDescent="0.4">
      <c r="A24" s="16">
        <f>DB!A22</f>
        <v>22</v>
      </c>
      <c r="B24" s="4" t="str">
        <f>DB!B22</f>
        <v>요지</v>
      </c>
      <c r="C24" s="4">
        <f>DB!E25</f>
        <v>0</v>
      </c>
      <c r="D24" s="16">
        <f>DB!A23</f>
        <v>23</v>
      </c>
      <c r="E24" s="4" t="str">
        <f>DB!B23</f>
        <v>주제</v>
      </c>
      <c r="F24" s="4">
        <f>DB!E26</f>
        <v>0</v>
      </c>
      <c r="G24" s="16">
        <f>DB!A24</f>
        <v>24</v>
      </c>
      <c r="H24" s="4" t="str">
        <f>DB!B24</f>
        <v>제목</v>
      </c>
      <c r="I24" s="4">
        <f>DB!E27</f>
        <v>1</v>
      </c>
      <c r="J24" s="16">
        <f>DB!A25</f>
        <v>25</v>
      </c>
      <c r="K24" s="4" t="str">
        <f>DB!B25</f>
        <v>도표</v>
      </c>
      <c r="L24" s="4">
        <f>DB!E28</f>
        <v>0</v>
      </c>
    </row>
    <row r="25" spans="1:12" x14ac:dyDescent="0.4">
      <c r="A25" s="16">
        <f>DB!A26</f>
        <v>26</v>
      </c>
      <c r="B25" s="4" t="str">
        <f>DB!B26</f>
        <v>내용 불일치</v>
      </c>
      <c r="C25" s="4">
        <f>DB!E29</f>
        <v>0</v>
      </c>
      <c r="D25" s="16">
        <f>DB!A27</f>
        <v>27</v>
      </c>
      <c r="E25" s="4" t="str">
        <f>DB!B27</f>
        <v>실용문</v>
      </c>
      <c r="F25" s="4">
        <f>DB!E30</f>
        <v>0</v>
      </c>
      <c r="G25" s="16">
        <f>DB!A28</f>
        <v>28</v>
      </c>
      <c r="H25" s="4" t="str">
        <f>DB!B28</f>
        <v>실용문</v>
      </c>
      <c r="I25" s="4">
        <f>DB!E31</f>
        <v>0</v>
      </c>
      <c r="J25" s="16">
        <f>DB!A29</f>
        <v>29</v>
      </c>
      <c r="K25" s="4" t="str">
        <f>DB!B29</f>
        <v>어법</v>
      </c>
      <c r="L25" s="4">
        <f>DB!E32</f>
        <v>1</v>
      </c>
    </row>
    <row r="26" spans="1:12" x14ac:dyDescent="0.4">
      <c r="A26" s="16">
        <f>DB!A30</f>
        <v>30</v>
      </c>
      <c r="B26" s="4" t="str">
        <f>DB!B30</f>
        <v>어휘</v>
      </c>
      <c r="C26" s="4">
        <f>DB!E33</f>
        <v>0</v>
      </c>
      <c r="D26" s="16">
        <f>DB!A31</f>
        <v>31</v>
      </c>
      <c r="E26" s="4" t="str">
        <f>DB!B31</f>
        <v>빈칸 추론</v>
      </c>
      <c r="F26" s="4">
        <f>DB!E34</f>
        <v>0</v>
      </c>
      <c r="G26" s="16">
        <f>DB!A32</f>
        <v>32</v>
      </c>
      <c r="H26" s="4" t="str">
        <f>DB!B32</f>
        <v>빈칸 추론</v>
      </c>
      <c r="I26" s="4">
        <f>DB!E35</f>
        <v>1</v>
      </c>
      <c r="J26" s="16">
        <f>DB!A33</f>
        <v>33</v>
      </c>
      <c r="K26" s="4" t="str">
        <f>DB!B33</f>
        <v>빈칸 추론</v>
      </c>
      <c r="L26" s="4">
        <f>DB!E36</f>
        <v>1</v>
      </c>
    </row>
    <row r="27" spans="1:12" x14ac:dyDescent="0.4">
      <c r="A27" s="16">
        <f>DB!A34</f>
        <v>34</v>
      </c>
      <c r="B27" s="4" t="str">
        <f>DB!B34</f>
        <v>빈칸 추론</v>
      </c>
      <c r="C27" s="4">
        <f>DB!E37</f>
        <v>1</v>
      </c>
      <c r="D27" s="16">
        <f>DB!A35</f>
        <v>35</v>
      </c>
      <c r="E27" s="4" t="str">
        <f>DB!B35</f>
        <v>무관한 문장</v>
      </c>
      <c r="F27" s="4">
        <f>DB!E38</f>
        <v>0</v>
      </c>
      <c r="G27" s="16">
        <f>DB!A36</f>
        <v>36</v>
      </c>
      <c r="H27" s="4" t="str">
        <f>DB!B36</f>
        <v>글의 순서</v>
      </c>
      <c r="I27" s="4">
        <f>DB!E39</f>
        <v>0</v>
      </c>
      <c r="J27" s="16">
        <f>DB!A37</f>
        <v>37</v>
      </c>
      <c r="K27" s="4" t="str">
        <f>DB!B37</f>
        <v>글의 순서</v>
      </c>
      <c r="L27" s="4">
        <f>DB!E40</f>
        <v>1</v>
      </c>
    </row>
    <row r="28" spans="1:12" x14ac:dyDescent="0.4">
      <c r="A28" s="16">
        <f>DB!A38</f>
        <v>38</v>
      </c>
      <c r="B28" s="4" t="str">
        <f>DB!B38</f>
        <v>문장 삽입</v>
      </c>
      <c r="C28" s="4">
        <f>DB!E41</f>
        <v>0</v>
      </c>
      <c r="D28" s="16">
        <f>DB!A39</f>
        <v>39</v>
      </c>
      <c r="E28" s="4" t="str">
        <f>DB!B39</f>
        <v>문장 삽입</v>
      </c>
      <c r="F28" s="4">
        <f>DB!E42</f>
        <v>2</v>
      </c>
      <c r="G28" s="16">
        <f>DB!A40</f>
        <v>40</v>
      </c>
      <c r="H28" s="4" t="str">
        <f>DB!B40</f>
        <v>요약문</v>
      </c>
      <c r="I28" s="4">
        <f>DB!E43</f>
        <v>0</v>
      </c>
      <c r="J28" s="16">
        <f>DB!A41</f>
        <v>41</v>
      </c>
      <c r="K28" s="4" t="str">
        <f>DB!B41</f>
        <v>장문 제목</v>
      </c>
      <c r="L28" s="4">
        <f>DB!E44</f>
        <v>2</v>
      </c>
    </row>
    <row r="29" spans="1:12" x14ac:dyDescent="0.4">
      <c r="A29" s="16">
        <f>DB!A42</f>
        <v>42</v>
      </c>
      <c r="B29" s="4" t="str">
        <f>DB!B42</f>
        <v>장문 어휘</v>
      </c>
      <c r="C29" s="4">
        <f>DB!E45</f>
        <v>1</v>
      </c>
      <c r="D29" s="16">
        <f>DB!A43</f>
        <v>43</v>
      </c>
      <c r="E29" s="4" t="str">
        <f>DB!B43</f>
        <v>장문 순서 배열</v>
      </c>
      <c r="F29" s="4">
        <f>DB!E46</f>
        <v>0</v>
      </c>
      <c r="G29" s="16">
        <f>DB!A44</f>
        <v>44</v>
      </c>
      <c r="H29" s="4" t="str">
        <f>DB!B44</f>
        <v>장문 지칭</v>
      </c>
      <c r="I29" s="4">
        <f>DB!E47</f>
        <v>0</v>
      </c>
      <c r="J29" s="16">
        <f>DB!A45</f>
        <v>45</v>
      </c>
      <c r="K29" s="4" t="str">
        <f>DB!B45</f>
        <v>장문 내용불일치</v>
      </c>
      <c r="L29" s="4">
        <f>DB!E48</f>
        <v>1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7BDD-4812-4761-8D65-7FAE61542C63}">
  <dimension ref="A1:E49"/>
  <sheetViews>
    <sheetView topLeftCell="A54" workbookViewId="0">
      <selection activeCell="H32" sqref="H32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33" t="s">
        <v>68</v>
      </c>
      <c r="B1" s="34"/>
      <c r="C1" s="34"/>
      <c r="D1" s="34"/>
      <c r="E1" s="35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5</v>
      </c>
      <c r="C3" s="5">
        <v>5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4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1</v>
      </c>
      <c r="C5" s="4">
        <v>1</v>
      </c>
      <c r="D5" s="4">
        <v>2</v>
      </c>
      <c r="E5" s="4">
        <f t="shared" si="0"/>
        <v>2</v>
      </c>
    </row>
    <row r="6" spans="1:5" x14ac:dyDescent="0.4">
      <c r="A6" s="9">
        <v>4</v>
      </c>
      <c r="B6" s="7">
        <v>4</v>
      </c>
      <c r="C6" s="4">
        <v>4</v>
      </c>
      <c r="D6" s="4">
        <v>2</v>
      </c>
      <c r="E6" s="4">
        <f t="shared" si="0"/>
        <v>2</v>
      </c>
    </row>
    <row r="7" spans="1:5" x14ac:dyDescent="0.4">
      <c r="A7" s="9">
        <v>5</v>
      </c>
      <c r="B7" s="7">
        <v>2</v>
      </c>
      <c r="C7" s="4">
        <v>2</v>
      </c>
      <c r="D7" s="4">
        <v>2</v>
      </c>
      <c r="E7" s="4">
        <f t="shared" si="0"/>
        <v>2</v>
      </c>
    </row>
    <row r="8" spans="1:5" x14ac:dyDescent="0.4">
      <c r="A8" s="9">
        <v>6</v>
      </c>
      <c r="B8" s="7">
        <v>4</v>
      </c>
      <c r="C8" s="4">
        <v>2</v>
      </c>
      <c r="D8" s="4">
        <v>2</v>
      </c>
      <c r="E8" s="4">
        <f t="shared" si="0"/>
        <v>0</v>
      </c>
    </row>
    <row r="9" spans="1:5" x14ac:dyDescent="0.4">
      <c r="A9" s="9">
        <v>7</v>
      </c>
      <c r="B9" s="7">
        <v>5</v>
      </c>
      <c r="C9" s="4">
        <v>5</v>
      </c>
      <c r="D9" s="4">
        <v>3</v>
      </c>
      <c r="E9" s="4">
        <f t="shared" si="0"/>
        <v>3</v>
      </c>
    </row>
    <row r="10" spans="1:5" x14ac:dyDescent="0.4">
      <c r="A10" s="9">
        <v>8</v>
      </c>
      <c r="B10" s="7">
        <v>5</v>
      </c>
      <c r="C10" s="4">
        <v>5</v>
      </c>
      <c r="D10" s="4">
        <v>2</v>
      </c>
      <c r="E10" s="4">
        <f t="shared" si="0"/>
        <v>2</v>
      </c>
    </row>
    <row r="11" spans="1:5" x14ac:dyDescent="0.4">
      <c r="A11" s="9">
        <v>9</v>
      </c>
      <c r="B11" s="7">
        <v>4</v>
      </c>
      <c r="C11" s="4">
        <v>4</v>
      </c>
      <c r="D11" s="4">
        <v>2</v>
      </c>
      <c r="E11" s="4">
        <f t="shared" si="0"/>
        <v>2</v>
      </c>
    </row>
    <row r="12" spans="1:5" x14ac:dyDescent="0.4">
      <c r="A12" s="9">
        <v>10</v>
      </c>
      <c r="B12" s="7">
        <v>4</v>
      </c>
      <c r="C12" s="4">
        <v>4</v>
      </c>
      <c r="D12" s="4">
        <v>2</v>
      </c>
      <c r="E12" s="4">
        <f t="shared" si="0"/>
        <v>2</v>
      </c>
    </row>
    <row r="13" spans="1:5" x14ac:dyDescent="0.4">
      <c r="A13" s="9">
        <v>11</v>
      </c>
      <c r="B13" s="7">
        <v>3</v>
      </c>
      <c r="C13" s="4">
        <v>3</v>
      </c>
      <c r="D13" s="4">
        <v>3</v>
      </c>
      <c r="E13" s="4">
        <f t="shared" si="0"/>
        <v>3</v>
      </c>
    </row>
    <row r="14" spans="1:5" x14ac:dyDescent="0.4">
      <c r="A14" s="9">
        <v>12</v>
      </c>
      <c r="B14" s="7">
        <v>2</v>
      </c>
      <c r="C14" s="4">
        <v>2</v>
      </c>
      <c r="D14" s="4">
        <v>3</v>
      </c>
      <c r="E14" s="4">
        <f t="shared" si="0"/>
        <v>3</v>
      </c>
    </row>
    <row r="15" spans="1:5" x14ac:dyDescent="0.4">
      <c r="A15" s="9">
        <v>13</v>
      </c>
      <c r="B15" s="7">
        <v>2</v>
      </c>
      <c r="C15" s="4">
        <v>2</v>
      </c>
      <c r="D15" s="4">
        <v>2</v>
      </c>
      <c r="E15" s="4">
        <f t="shared" si="0"/>
        <v>2</v>
      </c>
    </row>
    <row r="16" spans="1:5" x14ac:dyDescent="0.4">
      <c r="A16" s="9">
        <v>14</v>
      </c>
      <c r="B16" s="7">
        <v>4</v>
      </c>
      <c r="C16" s="4">
        <v>4</v>
      </c>
      <c r="D16" s="4">
        <v>2</v>
      </c>
      <c r="E16" s="4">
        <f t="shared" si="0"/>
        <v>2</v>
      </c>
    </row>
    <row r="17" spans="1:5" x14ac:dyDescent="0.4">
      <c r="A17" s="9">
        <v>15</v>
      </c>
      <c r="B17" s="7">
        <v>1</v>
      </c>
      <c r="C17" s="4">
        <v>1</v>
      </c>
      <c r="D17" s="4">
        <v>2</v>
      </c>
      <c r="E17" s="4">
        <f t="shared" si="0"/>
        <v>2</v>
      </c>
    </row>
    <row r="18" spans="1:5" x14ac:dyDescent="0.4">
      <c r="A18" s="9">
        <v>16</v>
      </c>
      <c r="B18" s="7">
        <v>4</v>
      </c>
      <c r="C18" s="4">
        <v>4</v>
      </c>
      <c r="D18" s="4">
        <v>2</v>
      </c>
      <c r="E18" s="4">
        <f t="shared" si="0"/>
        <v>2</v>
      </c>
    </row>
    <row r="19" spans="1:5" x14ac:dyDescent="0.4">
      <c r="A19" s="9">
        <v>17</v>
      </c>
      <c r="B19" s="7">
        <v>5</v>
      </c>
      <c r="C19" s="4">
        <v>5</v>
      </c>
      <c r="D19" s="4">
        <v>2</v>
      </c>
      <c r="E19" s="4">
        <f t="shared" si="0"/>
        <v>2</v>
      </c>
    </row>
    <row r="20" spans="1:5" x14ac:dyDescent="0.4">
      <c r="A20" s="9">
        <v>18</v>
      </c>
      <c r="B20" s="7">
        <v>1</v>
      </c>
      <c r="C20" s="4">
        <v>1</v>
      </c>
      <c r="D20" s="4">
        <v>2</v>
      </c>
      <c r="E20" s="4">
        <f t="shared" si="0"/>
        <v>2</v>
      </c>
    </row>
    <row r="21" spans="1:5" x14ac:dyDescent="0.4">
      <c r="A21" s="9">
        <v>19</v>
      </c>
      <c r="B21" s="7">
        <v>2</v>
      </c>
      <c r="C21" s="4">
        <v>2</v>
      </c>
      <c r="D21" s="4">
        <v>2</v>
      </c>
      <c r="E21" s="4">
        <f t="shared" si="0"/>
        <v>2</v>
      </c>
    </row>
    <row r="22" spans="1:5" x14ac:dyDescent="0.4">
      <c r="A22" s="9">
        <v>20</v>
      </c>
      <c r="B22" s="7">
        <v>2</v>
      </c>
      <c r="C22" s="4">
        <v>2</v>
      </c>
      <c r="D22" s="4">
        <v>2</v>
      </c>
      <c r="E22" s="4">
        <f t="shared" si="0"/>
        <v>2</v>
      </c>
    </row>
    <row r="23" spans="1:5" x14ac:dyDescent="0.4">
      <c r="A23" s="9">
        <v>21</v>
      </c>
      <c r="B23" s="7">
        <v>1</v>
      </c>
      <c r="C23" s="4">
        <v>1</v>
      </c>
      <c r="D23" s="4">
        <v>2</v>
      </c>
      <c r="E23" s="4">
        <f t="shared" si="0"/>
        <v>2</v>
      </c>
    </row>
    <row r="24" spans="1:5" x14ac:dyDescent="0.4">
      <c r="A24" s="9">
        <v>22</v>
      </c>
      <c r="B24" s="7">
        <v>1</v>
      </c>
      <c r="C24" s="4">
        <v>1</v>
      </c>
      <c r="D24" s="4">
        <v>2</v>
      </c>
      <c r="E24" s="4">
        <f t="shared" si="0"/>
        <v>2</v>
      </c>
    </row>
    <row r="25" spans="1:5" x14ac:dyDescent="0.4">
      <c r="A25" s="9">
        <v>23</v>
      </c>
      <c r="B25" s="7">
        <v>2</v>
      </c>
      <c r="C25" s="4">
        <v>2</v>
      </c>
      <c r="D25" s="4">
        <v>2</v>
      </c>
      <c r="E25" s="4">
        <f t="shared" si="0"/>
        <v>2</v>
      </c>
    </row>
    <row r="26" spans="1:5" x14ac:dyDescent="0.4">
      <c r="A26" s="9">
        <v>24</v>
      </c>
      <c r="B26" s="7">
        <v>1</v>
      </c>
      <c r="C26" s="4">
        <v>5</v>
      </c>
      <c r="D26" s="4">
        <v>2</v>
      </c>
      <c r="E26" s="4">
        <f t="shared" si="0"/>
        <v>0</v>
      </c>
    </row>
    <row r="27" spans="1:5" x14ac:dyDescent="0.4">
      <c r="A27" s="9">
        <v>25</v>
      </c>
      <c r="B27" s="7">
        <v>5</v>
      </c>
      <c r="C27" s="4">
        <v>5</v>
      </c>
      <c r="D27" s="4">
        <v>2</v>
      </c>
      <c r="E27" s="4">
        <f t="shared" si="0"/>
        <v>2</v>
      </c>
    </row>
    <row r="28" spans="1:5" x14ac:dyDescent="0.4">
      <c r="A28" s="9">
        <v>26</v>
      </c>
      <c r="B28" s="7">
        <v>4</v>
      </c>
      <c r="C28" s="4">
        <v>4</v>
      </c>
      <c r="D28" s="4">
        <v>2</v>
      </c>
      <c r="E28" s="4">
        <f t="shared" si="0"/>
        <v>2</v>
      </c>
    </row>
    <row r="29" spans="1:5" x14ac:dyDescent="0.4">
      <c r="A29" s="9">
        <v>27</v>
      </c>
      <c r="B29" s="7">
        <v>5</v>
      </c>
      <c r="C29" s="4">
        <v>5</v>
      </c>
      <c r="D29" s="4">
        <v>2</v>
      </c>
      <c r="E29" s="4">
        <f t="shared" si="0"/>
        <v>2</v>
      </c>
    </row>
    <row r="30" spans="1:5" x14ac:dyDescent="0.4">
      <c r="A30" s="9">
        <v>28</v>
      </c>
      <c r="B30" s="7">
        <v>3</v>
      </c>
      <c r="C30" s="4">
        <v>3</v>
      </c>
      <c r="D30" s="4">
        <v>2</v>
      </c>
      <c r="E30" s="4">
        <f t="shared" si="0"/>
        <v>2</v>
      </c>
    </row>
    <row r="31" spans="1:5" x14ac:dyDescent="0.4">
      <c r="A31" s="9">
        <v>29</v>
      </c>
      <c r="B31" s="7">
        <v>3</v>
      </c>
      <c r="C31" s="4">
        <v>3</v>
      </c>
      <c r="D31" s="4">
        <v>2</v>
      </c>
      <c r="E31" s="4">
        <f t="shared" si="0"/>
        <v>2</v>
      </c>
    </row>
    <row r="32" spans="1:5" x14ac:dyDescent="0.4">
      <c r="A32" s="9">
        <v>30</v>
      </c>
      <c r="B32" s="7">
        <v>3</v>
      </c>
      <c r="C32" s="4">
        <v>3</v>
      </c>
      <c r="D32" s="4">
        <v>3</v>
      </c>
      <c r="E32" s="4">
        <f t="shared" si="0"/>
        <v>3</v>
      </c>
    </row>
    <row r="33" spans="1:5" x14ac:dyDescent="0.4">
      <c r="A33" s="9">
        <v>31</v>
      </c>
      <c r="B33" s="7">
        <v>1</v>
      </c>
      <c r="C33" s="4">
        <v>1</v>
      </c>
      <c r="D33" s="4">
        <v>3</v>
      </c>
      <c r="E33" s="4">
        <f t="shared" si="0"/>
        <v>3</v>
      </c>
    </row>
    <row r="34" spans="1:5" x14ac:dyDescent="0.4">
      <c r="A34" s="9">
        <v>32</v>
      </c>
      <c r="B34" s="7">
        <v>3</v>
      </c>
      <c r="C34" s="4">
        <v>3</v>
      </c>
      <c r="D34" s="4">
        <v>3</v>
      </c>
      <c r="E34" s="4">
        <f t="shared" si="0"/>
        <v>3</v>
      </c>
    </row>
    <row r="35" spans="1:5" x14ac:dyDescent="0.4">
      <c r="A35" s="9">
        <v>33</v>
      </c>
      <c r="B35" s="7">
        <v>1</v>
      </c>
      <c r="C35" s="4">
        <v>1</v>
      </c>
      <c r="D35" s="4">
        <v>2</v>
      </c>
      <c r="E35" s="4">
        <f t="shared" si="0"/>
        <v>2</v>
      </c>
    </row>
    <row r="36" spans="1:5" x14ac:dyDescent="0.4">
      <c r="A36" s="9">
        <v>34</v>
      </c>
      <c r="B36" s="7">
        <v>3</v>
      </c>
      <c r="C36" s="4">
        <v>5</v>
      </c>
      <c r="D36" s="4">
        <v>3</v>
      </c>
      <c r="E36" s="4">
        <f t="shared" si="0"/>
        <v>0</v>
      </c>
    </row>
    <row r="37" spans="1:5" x14ac:dyDescent="0.4">
      <c r="A37" s="9">
        <v>35</v>
      </c>
      <c r="B37" s="7">
        <v>4</v>
      </c>
      <c r="C37" s="4">
        <v>4</v>
      </c>
      <c r="D37" s="4">
        <v>3</v>
      </c>
      <c r="E37" s="4">
        <f t="shared" si="0"/>
        <v>3</v>
      </c>
    </row>
    <row r="38" spans="1:5" x14ac:dyDescent="0.4">
      <c r="A38" s="9">
        <v>36</v>
      </c>
      <c r="B38" s="7">
        <v>4</v>
      </c>
      <c r="C38" s="4">
        <v>4</v>
      </c>
      <c r="D38" s="4">
        <v>2</v>
      </c>
      <c r="E38" s="4">
        <f t="shared" si="0"/>
        <v>2</v>
      </c>
    </row>
    <row r="39" spans="1:5" x14ac:dyDescent="0.4">
      <c r="A39" s="9">
        <v>37</v>
      </c>
      <c r="B39" s="7">
        <v>2</v>
      </c>
      <c r="C39" s="4">
        <v>3</v>
      </c>
      <c r="D39" s="4">
        <v>2</v>
      </c>
      <c r="E39" s="4">
        <f t="shared" si="0"/>
        <v>0</v>
      </c>
    </row>
    <row r="40" spans="1:5" x14ac:dyDescent="0.4">
      <c r="A40" s="9">
        <v>38</v>
      </c>
      <c r="B40" s="7">
        <v>3</v>
      </c>
      <c r="C40" s="4">
        <v>3</v>
      </c>
      <c r="D40" s="4">
        <v>2</v>
      </c>
      <c r="E40" s="4">
        <f t="shared" si="0"/>
        <v>2</v>
      </c>
    </row>
    <row r="41" spans="1:5" x14ac:dyDescent="0.4">
      <c r="A41" s="9">
        <v>39</v>
      </c>
      <c r="B41" s="7">
        <v>5</v>
      </c>
      <c r="C41" s="4">
        <v>1</v>
      </c>
      <c r="D41" s="4">
        <v>3</v>
      </c>
      <c r="E41" s="4">
        <f t="shared" si="0"/>
        <v>0</v>
      </c>
    </row>
    <row r="42" spans="1:5" x14ac:dyDescent="0.4">
      <c r="A42" s="9">
        <v>40</v>
      </c>
      <c r="B42" s="7">
        <v>2</v>
      </c>
      <c r="C42" s="4">
        <v>2</v>
      </c>
      <c r="D42" s="4">
        <v>3</v>
      </c>
      <c r="E42" s="4">
        <f t="shared" si="0"/>
        <v>3</v>
      </c>
    </row>
    <row r="43" spans="1:5" x14ac:dyDescent="0.4">
      <c r="A43" s="9">
        <v>41</v>
      </c>
      <c r="B43" s="7">
        <v>5</v>
      </c>
      <c r="C43" s="4">
        <v>4</v>
      </c>
      <c r="D43" s="4">
        <v>2</v>
      </c>
      <c r="E43" s="4">
        <f t="shared" si="0"/>
        <v>0</v>
      </c>
    </row>
    <row r="44" spans="1:5" x14ac:dyDescent="0.4">
      <c r="A44" s="9">
        <v>42</v>
      </c>
      <c r="B44" s="7">
        <v>3</v>
      </c>
      <c r="C44" s="4">
        <v>5</v>
      </c>
      <c r="D44" s="4">
        <v>2</v>
      </c>
      <c r="E44" s="4">
        <f t="shared" si="0"/>
        <v>0</v>
      </c>
    </row>
    <row r="45" spans="1:5" x14ac:dyDescent="0.4">
      <c r="A45" s="9">
        <v>43</v>
      </c>
      <c r="B45" s="7">
        <v>5</v>
      </c>
      <c r="C45" s="4">
        <v>5</v>
      </c>
      <c r="D45" s="4">
        <v>2</v>
      </c>
      <c r="E45" s="4">
        <f t="shared" si="0"/>
        <v>2</v>
      </c>
    </row>
    <row r="46" spans="1:5" x14ac:dyDescent="0.4">
      <c r="A46" s="9">
        <v>44</v>
      </c>
      <c r="B46" s="7">
        <v>2</v>
      </c>
      <c r="C46" s="4">
        <v>2</v>
      </c>
      <c r="D46" s="4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3</v>
      </c>
      <c r="C47" s="12">
        <v>3</v>
      </c>
      <c r="D47" s="12">
        <v>2</v>
      </c>
      <c r="E47" s="12">
        <f t="shared" si="0"/>
        <v>2</v>
      </c>
    </row>
    <row r="48" spans="1:5" ht="18" thickTop="1" x14ac:dyDescent="0.4">
      <c r="A48" s="29" t="s">
        <v>42</v>
      </c>
      <c r="B48" s="29"/>
      <c r="C48" s="30">
        <f>SUM(E3:E47)</f>
        <v>84</v>
      </c>
      <c r="D48" s="30"/>
      <c r="E48" s="30"/>
    </row>
    <row r="49" spans="1:5" x14ac:dyDescent="0.4">
      <c r="A49" s="31" t="s">
        <v>7</v>
      </c>
      <c r="B49" s="31"/>
      <c r="C49" s="32" t="str">
        <f>IF(C48&gt;=90,"1등급",IF(C48&gt;=80,"2등급",IF(C48&gt;=70,"3등급",IF(C48&gt;=60,"4등급","죽어라"))))</f>
        <v>2등급</v>
      </c>
      <c r="D49" s="32"/>
      <c r="E49" s="32"/>
    </row>
  </sheetData>
  <mergeCells count="5">
    <mergeCell ref="A48:B48"/>
    <mergeCell ref="C48:E48"/>
    <mergeCell ref="A49:B49"/>
    <mergeCell ref="C49:E49"/>
    <mergeCell ref="A1:E1"/>
  </mergeCells>
  <phoneticPr fontId="1" type="noConversion"/>
  <conditionalFormatting sqref="C3:C47">
    <cfRule type="expression" dxfId="8" priority="1">
      <formula>B3&lt;&gt;C3</formula>
    </cfRule>
    <cfRule type="expression" dxfId="7" priority="2">
      <formula>B3=C3</formula>
    </cfRule>
    <cfRule type="expression" dxfId="6" priority="3">
      <formula>"IF(B3=C3)"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E49"/>
  <sheetViews>
    <sheetView workbookViewId="0">
      <selection activeCell="C23" sqref="C23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33" t="s">
        <v>68</v>
      </c>
      <c r="B1" s="34"/>
      <c r="C1" s="34"/>
      <c r="D1" s="34"/>
      <c r="E1" s="35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2</v>
      </c>
      <c r="C3" s="5">
        <v>2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4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5</v>
      </c>
      <c r="C5" s="4">
        <v>5</v>
      </c>
      <c r="D5" s="4">
        <v>2</v>
      </c>
      <c r="E5" s="4">
        <f t="shared" si="0"/>
        <v>2</v>
      </c>
    </row>
    <row r="6" spans="1:5" x14ac:dyDescent="0.4">
      <c r="A6" s="9">
        <v>4</v>
      </c>
      <c r="B6" s="7">
        <v>3</v>
      </c>
      <c r="C6" s="4">
        <v>3</v>
      </c>
      <c r="D6" s="4">
        <v>2</v>
      </c>
      <c r="E6" s="4">
        <f t="shared" si="0"/>
        <v>2</v>
      </c>
    </row>
    <row r="7" spans="1:5" x14ac:dyDescent="0.4">
      <c r="A7" s="9">
        <v>5</v>
      </c>
      <c r="B7" s="7">
        <v>5</v>
      </c>
      <c r="C7" s="4">
        <v>5</v>
      </c>
      <c r="D7" s="4">
        <v>2</v>
      </c>
      <c r="E7" s="4">
        <f t="shared" si="0"/>
        <v>2</v>
      </c>
    </row>
    <row r="8" spans="1:5" x14ac:dyDescent="0.4">
      <c r="A8" s="9">
        <v>6</v>
      </c>
      <c r="B8" s="7">
        <v>3</v>
      </c>
      <c r="C8" s="4">
        <v>3</v>
      </c>
      <c r="D8" s="4">
        <v>2</v>
      </c>
      <c r="E8" s="4">
        <f t="shared" si="0"/>
        <v>2</v>
      </c>
    </row>
    <row r="9" spans="1:5" x14ac:dyDescent="0.4">
      <c r="A9" s="9">
        <v>7</v>
      </c>
      <c r="B9" s="7">
        <v>1</v>
      </c>
      <c r="C9" s="4">
        <v>1</v>
      </c>
      <c r="D9" s="4">
        <v>3</v>
      </c>
      <c r="E9" s="4">
        <f t="shared" si="0"/>
        <v>3</v>
      </c>
    </row>
    <row r="10" spans="1:5" x14ac:dyDescent="0.4">
      <c r="A10" s="9">
        <v>8</v>
      </c>
      <c r="B10" s="7">
        <v>5</v>
      </c>
      <c r="C10" s="4">
        <v>5</v>
      </c>
      <c r="D10" s="4">
        <v>2</v>
      </c>
      <c r="E10" s="4">
        <f t="shared" si="0"/>
        <v>2</v>
      </c>
    </row>
    <row r="11" spans="1:5" x14ac:dyDescent="0.4">
      <c r="A11" s="9">
        <v>9</v>
      </c>
      <c r="B11" s="7">
        <v>4</v>
      </c>
      <c r="C11" s="4">
        <v>4</v>
      </c>
      <c r="D11" s="4">
        <v>2</v>
      </c>
      <c r="E11" s="4">
        <f t="shared" si="0"/>
        <v>2</v>
      </c>
    </row>
    <row r="12" spans="1:5" x14ac:dyDescent="0.4">
      <c r="A12" s="9">
        <v>10</v>
      </c>
      <c r="B12" s="7">
        <v>2</v>
      </c>
      <c r="C12" s="4">
        <v>2</v>
      </c>
      <c r="D12" s="4">
        <v>2</v>
      </c>
      <c r="E12" s="4">
        <f t="shared" si="0"/>
        <v>2</v>
      </c>
    </row>
    <row r="13" spans="1:5" x14ac:dyDescent="0.4">
      <c r="A13" s="9">
        <v>11</v>
      </c>
      <c r="B13" s="7">
        <v>1</v>
      </c>
      <c r="C13" s="4">
        <v>1</v>
      </c>
      <c r="D13" s="4">
        <v>3</v>
      </c>
      <c r="E13" s="4">
        <f t="shared" si="0"/>
        <v>3</v>
      </c>
    </row>
    <row r="14" spans="1:5" x14ac:dyDescent="0.4">
      <c r="A14" s="9">
        <v>12</v>
      </c>
      <c r="B14" s="7">
        <v>5</v>
      </c>
      <c r="C14" s="4">
        <v>5</v>
      </c>
      <c r="D14" s="4">
        <v>3</v>
      </c>
      <c r="E14" s="4">
        <f t="shared" si="0"/>
        <v>3</v>
      </c>
    </row>
    <row r="15" spans="1:5" x14ac:dyDescent="0.4">
      <c r="A15" s="9">
        <v>13</v>
      </c>
      <c r="B15" s="7">
        <v>2</v>
      </c>
      <c r="C15" s="4">
        <v>2</v>
      </c>
      <c r="D15" s="4">
        <v>2</v>
      </c>
      <c r="E15" s="4">
        <f t="shared" si="0"/>
        <v>2</v>
      </c>
    </row>
    <row r="16" spans="1:5" x14ac:dyDescent="0.4">
      <c r="A16" s="9">
        <v>14</v>
      </c>
      <c r="B16" s="7">
        <v>3</v>
      </c>
      <c r="C16" s="4">
        <v>3</v>
      </c>
      <c r="D16" s="4">
        <v>2</v>
      </c>
      <c r="E16" s="4">
        <f t="shared" si="0"/>
        <v>2</v>
      </c>
    </row>
    <row r="17" spans="1:5" x14ac:dyDescent="0.4">
      <c r="A17" s="9">
        <v>15</v>
      </c>
      <c r="B17" s="7">
        <v>2</v>
      </c>
      <c r="C17" s="4">
        <v>2</v>
      </c>
      <c r="D17" s="4">
        <v>2</v>
      </c>
      <c r="E17" s="4">
        <f t="shared" si="0"/>
        <v>2</v>
      </c>
    </row>
    <row r="18" spans="1:5" x14ac:dyDescent="0.4">
      <c r="A18" s="9">
        <v>16</v>
      </c>
      <c r="B18" s="7">
        <v>4</v>
      </c>
      <c r="C18" s="4">
        <v>4</v>
      </c>
      <c r="D18" s="4">
        <v>2</v>
      </c>
      <c r="E18" s="4">
        <f t="shared" si="0"/>
        <v>2</v>
      </c>
    </row>
    <row r="19" spans="1:5" x14ac:dyDescent="0.4">
      <c r="A19" s="9">
        <v>17</v>
      </c>
      <c r="B19" s="7">
        <v>5</v>
      </c>
      <c r="C19" s="4">
        <v>5</v>
      </c>
      <c r="D19" s="4">
        <v>2</v>
      </c>
      <c r="E19" s="4">
        <f t="shared" si="0"/>
        <v>2</v>
      </c>
    </row>
    <row r="20" spans="1:5" x14ac:dyDescent="0.4">
      <c r="A20" s="9">
        <v>18</v>
      </c>
      <c r="B20" s="7">
        <v>5</v>
      </c>
      <c r="C20" s="4">
        <v>5</v>
      </c>
      <c r="D20" s="4">
        <v>2</v>
      </c>
      <c r="E20" s="4">
        <f t="shared" si="0"/>
        <v>2</v>
      </c>
    </row>
    <row r="21" spans="1:5" x14ac:dyDescent="0.4">
      <c r="A21" s="9">
        <v>19</v>
      </c>
      <c r="B21" s="7">
        <v>1</v>
      </c>
      <c r="C21" s="4">
        <v>1</v>
      </c>
      <c r="D21" s="4">
        <v>2</v>
      </c>
      <c r="E21" s="4">
        <f t="shared" si="0"/>
        <v>2</v>
      </c>
    </row>
    <row r="22" spans="1:5" x14ac:dyDescent="0.4">
      <c r="A22" s="9">
        <v>20</v>
      </c>
      <c r="B22" s="7">
        <v>3</v>
      </c>
      <c r="C22" s="4">
        <v>3</v>
      </c>
      <c r="D22" s="4">
        <v>2</v>
      </c>
      <c r="E22" s="4">
        <f t="shared" si="0"/>
        <v>2</v>
      </c>
    </row>
    <row r="23" spans="1:5" x14ac:dyDescent="0.4">
      <c r="A23" s="9">
        <v>21</v>
      </c>
      <c r="B23" s="7">
        <v>2</v>
      </c>
      <c r="C23" s="4">
        <v>2</v>
      </c>
      <c r="D23" s="4">
        <v>2</v>
      </c>
      <c r="E23" s="4">
        <f t="shared" si="0"/>
        <v>2</v>
      </c>
    </row>
    <row r="24" spans="1:5" x14ac:dyDescent="0.4">
      <c r="A24" s="9">
        <v>22</v>
      </c>
      <c r="B24" s="7">
        <v>3</v>
      </c>
      <c r="C24" s="4">
        <v>3</v>
      </c>
      <c r="D24" s="4">
        <v>2</v>
      </c>
      <c r="E24" s="4">
        <f t="shared" si="0"/>
        <v>2</v>
      </c>
    </row>
    <row r="25" spans="1:5" x14ac:dyDescent="0.4">
      <c r="A25" s="9">
        <v>23</v>
      </c>
      <c r="B25" s="7">
        <v>4</v>
      </c>
      <c r="C25" s="4">
        <v>4</v>
      </c>
      <c r="D25" s="4">
        <v>2</v>
      </c>
      <c r="E25" s="4">
        <f t="shared" si="0"/>
        <v>2</v>
      </c>
    </row>
    <row r="26" spans="1:5" x14ac:dyDescent="0.4">
      <c r="A26" s="9">
        <v>24</v>
      </c>
      <c r="B26" s="7">
        <v>1</v>
      </c>
      <c r="C26" s="4">
        <v>1</v>
      </c>
      <c r="D26" s="4">
        <v>2</v>
      </c>
      <c r="E26" s="4">
        <f t="shared" si="0"/>
        <v>2</v>
      </c>
    </row>
    <row r="27" spans="1:5" x14ac:dyDescent="0.4">
      <c r="A27" s="9">
        <v>25</v>
      </c>
      <c r="B27" s="7">
        <v>3</v>
      </c>
      <c r="C27" s="4">
        <v>3</v>
      </c>
      <c r="D27" s="4">
        <v>2</v>
      </c>
      <c r="E27" s="4">
        <f t="shared" si="0"/>
        <v>2</v>
      </c>
    </row>
    <row r="28" spans="1:5" x14ac:dyDescent="0.4">
      <c r="A28" s="9">
        <v>26</v>
      </c>
      <c r="B28" s="7">
        <v>3</v>
      </c>
      <c r="C28" s="4">
        <v>3</v>
      </c>
      <c r="D28" s="4">
        <v>2</v>
      </c>
      <c r="E28" s="4">
        <f t="shared" si="0"/>
        <v>2</v>
      </c>
    </row>
    <row r="29" spans="1:5" x14ac:dyDescent="0.4">
      <c r="A29" s="9">
        <v>27</v>
      </c>
      <c r="B29" s="7">
        <v>4</v>
      </c>
      <c r="C29" s="4">
        <v>4</v>
      </c>
      <c r="D29" s="4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4</v>
      </c>
      <c r="D30" s="4">
        <v>2</v>
      </c>
      <c r="E30" s="4">
        <f t="shared" si="0"/>
        <v>2</v>
      </c>
    </row>
    <row r="31" spans="1:5" x14ac:dyDescent="0.4">
      <c r="A31" s="9">
        <v>29</v>
      </c>
      <c r="B31" s="7">
        <v>3</v>
      </c>
      <c r="C31" s="4">
        <v>5</v>
      </c>
      <c r="D31" s="4">
        <v>2</v>
      </c>
      <c r="E31" s="4">
        <f t="shared" si="0"/>
        <v>0</v>
      </c>
    </row>
    <row r="32" spans="1:5" x14ac:dyDescent="0.4">
      <c r="A32" s="9">
        <v>30</v>
      </c>
      <c r="B32" s="7">
        <v>5</v>
      </c>
      <c r="C32" s="4">
        <v>5</v>
      </c>
      <c r="D32" s="4">
        <v>3</v>
      </c>
      <c r="E32" s="4">
        <f t="shared" si="0"/>
        <v>3</v>
      </c>
    </row>
    <row r="33" spans="1:5" x14ac:dyDescent="0.4">
      <c r="A33" s="9">
        <v>31</v>
      </c>
      <c r="B33" s="7">
        <v>1</v>
      </c>
      <c r="C33" s="4">
        <v>1</v>
      </c>
      <c r="D33" s="4">
        <v>3</v>
      </c>
      <c r="E33" s="4">
        <f t="shared" si="0"/>
        <v>3</v>
      </c>
    </row>
    <row r="34" spans="1:5" x14ac:dyDescent="0.4">
      <c r="A34" s="9">
        <v>32</v>
      </c>
      <c r="B34" s="7">
        <v>3</v>
      </c>
      <c r="C34" s="4">
        <v>1</v>
      </c>
      <c r="D34" s="4">
        <v>3</v>
      </c>
      <c r="E34" s="4">
        <f t="shared" si="0"/>
        <v>0</v>
      </c>
    </row>
    <row r="35" spans="1:5" x14ac:dyDescent="0.4">
      <c r="A35" s="9">
        <v>33</v>
      </c>
      <c r="B35" s="7">
        <v>4</v>
      </c>
      <c r="C35" s="4">
        <v>5</v>
      </c>
      <c r="D35" s="4">
        <v>2</v>
      </c>
      <c r="E35" s="4">
        <f t="shared" si="0"/>
        <v>0</v>
      </c>
    </row>
    <row r="36" spans="1:5" x14ac:dyDescent="0.4">
      <c r="A36" s="9">
        <v>34</v>
      </c>
      <c r="B36" s="7">
        <v>2</v>
      </c>
      <c r="C36" s="4">
        <v>2</v>
      </c>
      <c r="D36" s="4">
        <v>3</v>
      </c>
      <c r="E36" s="4">
        <f t="shared" si="0"/>
        <v>3</v>
      </c>
    </row>
    <row r="37" spans="1:5" x14ac:dyDescent="0.4">
      <c r="A37" s="9">
        <v>35</v>
      </c>
      <c r="B37" s="7">
        <v>4</v>
      </c>
      <c r="C37" s="4">
        <v>4</v>
      </c>
      <c r="D37" s="4">
        <v>3</v>
      </c>
      <c r="E37" s="4">
        <f t="shared" si="0"/>
        <v>3</v>
      </c>
    </row>
    <row r="38" spans="1:5" x14ac:dyDescent="0.4">
      <c r="A38" s="9">
        <v>36</v>
      </c>
      <c r="B38" s="7">
        <v>5</v>
      </c>
      <c r="C38" s="4">
        <v>5</v>
      </c>
      <c r="D38" s="4">
        <v>2</v>
      </c>
      <c r="E38" s="4">
        <f t="shared" si="0"/>
        <v>2</v>
      </c>
    </row>
    <row r="39" spans="1:5" x14ac:dyDescent="0.4">
      <c r="A39" s="9">
        <v>37</v>
      </c>
      <c r="B39" s="7">
        <v>2</v>
      </c>
      <c r="C39" s="4">
        <v>2</v>
      </c>
      <c r="D39" s="4">
        <v>2</v>
      </c>
      <c r="E39" s="4">
        <f t="shared" si="0"/>
        <v>2</v>
      </c>
    </row>
    <row r="40" spans="1:5" x14ac:dyDescent="0.4">
      <c r="A40" s="9">
        <v>38</v>
      </c>
      <c r="B40" s="7">
        <v>3</v>
      </c>
      <c r="C40" s="4">
        <v>3</v>
      </c>
      <c r="D40" s="4">
        <v>2</v>
      </c>
      <c r="E40" s="4">
        <f t="shared" si="0"/>
        <v>2</v>
      </c>
    </row>
    <row r="41" spans="1:5" x14ac:dyDescent="0.4">
      <c r="A41" s="9">
        <v>39</v>
      </c>
      <c r="B41" s="7">
        <v>2</v>
      </c>
      <c r="C41" s="4">
        <v>1</v>
      </c>
      <c r="D41" s="4">
        <v>3</v>
      </c>
      <c r="E41" s="4">
        <f t="shared" si="0"/>
        <v>0</v>
      </c>
    </row>
    <row r="42" spans="1:5" x14ac:dyDescent="0.4">
      <c r="A42" s="9">
        <v>40</v>
      </c>
      <c r="B42" s="7">
        <v>1</v>
      </c>
      <c r="C42" s="4">
        <v>1</v>
      </c>
      <c r="D42" s="4">
        <v>3</v>
      </c>
      <c r="E42" s="4">
        <f t="shared" si="0"/>
        <v>3</v>
      </c>
    </row>
    <row r="43" spans="1:5" x14ac:dyDescent="0.4">
      <c r="A43" s="9">
        <v>41</v>
      </c>
      <c r="B43" s="7">
        <v>1</v>
      </c>
      <c r="C43" s="4">
        <v>3</v>
      </c>
      <c r="D43" s="4">
        <v>2</v>
      </c>
      <c r="E43" s="4">
        <f t="shared" si="0"/>
        <v>0</v>
      </c>
    </row>
    <row r="44" spans="1:5" x14ac:dyDescent="0.4">
      <c r="A44" s="9">
        <v>42</v>
      </c>
      <c r="B44" s="7">
        <v>4</v>
      </c>
      <c r="C44" s="4">
        <v>4</v>
      </c>
      <c r="D44" s="4">
        <v>2</v>
      </c>
      <c r="E44" s="4">
        <f t="shared" si="0"/>
        <v>2</v>
      </c>
    </row>
    <row r="45" spans="1:5" x14ac:dyDescent="0.4">
      <c r="A45" s="9">
        <v>43</v>
      </c>
      <c r="B45" s="7">
        <v>3</v>
      </c>
      <c r="C45" s="4">
        <v>3</v>
      </c>
      <c r="D45" s="4">
        <v>2</v>
      </c>
      <c r="E45" s="4">
        <f t="shared" si="0"/>
        <v>2</v>
      </c>
    </row>
    <row r="46" spans="1:5" x14ac:dyDescent="0.4">
      <c r="A46" s="9">
        <v>44</v>
      </c>
      <c r="B46" s="7">
        <v>5</v>
      </c>
      <c r="C46" s="4">
        <v>5</v>
      </c>
      <c r="D46" s="4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3</v>
      </c>
      <c r="C47" s="12">
        <v>4</v>
      </c>
      <c r="D47" s="12">
        <v>2</v>
      </c>
      <c r="E47" s="12">
        <f t="shared" si="0"/>
        <v>0</v>
      </c>
    </row>
    <row r="48" spans="1:5" ht="18" thickTop="1" x14ac:dyDescent="0.4">
      <c r="A48" s="29" t="s">
        <v>42</v>
      </c>
      <c r="B48" s="29"/>
      <c r="C48" s="30">
        <f>SUM(E3:E47)</f>
        <v>86</v>
      </c>
      <c r="D48" s="30"/>
      <c r="E48" s="30"/>
    </row>
    <row r="49" spans="1:5" x14ac:dyDescent="0.4">
      <c r="A49" s="31" t="s">
        <v>7</v>
      </c>
      <c r="B49" s="31"/>
      <c r="C49" s="32" t="str">
        <f>IF(C48&gt;=90,"1등급",IF(C48&gt;=80,"2등급",IF(C48&gt;=70,"3등급",IF(C48&gt;=60,"4등급","죽어라"))))</f>
        <v>2등급</v>
      </c>
      <c r="D49" s="32"/>
      <c r="E49" s="32"/>
    </row>
  </sheetData>
  <mergeCells count="5">
    <mergeCell ref="A49:B49"/>
    <mergeCell ref="C49:E49"/>
    <mergeCell ref="A1:E1"/>
    <mergeCell ref="A48:B48"/>
    <mergeCell ref="C48:E48"/>
  </mergeCells>
  <phoneticPr fontId="1" type="noConversion"/>
  <conditionalFormatting sqref="C3:C47">
    <cfRule type="expression" dxfId="5" priority="1">
      <formula>B3&lt;&gt;C3</formula>
    </cfRule>
    <cfRule type="expression" dxfId="4" priority="2">
      <formula>B3=C3</formula>
    </cfRule>
    <cfRule type="expression" dxfId="3" priority="4">
      <formula>"IF(B3=C3)"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82E2-CAB7-4401-B18B-0C70E24BC0BB}">
  <dimension ref="A1:E49"/>
  <sheetViews>
    <sheetView tabSelected="1" topLeftCell="A19" workbookViewId="0">
      <selection activeCell="B3" sqref="B3:D47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33" t="s">
        <v>68</v>
      </c>
      <c r="B1" s="34"/>
      <c r="C1" s="34"/>
      <c r="D1" s="34"/>
      <c r="E1" s="35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1</v>
      </c>
      <c r="C3" s="5">
        <v>1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4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5</v>
      </c>
      <c r="C5" s="4">
        <v>5</v>
      </c>
      <c r="D5" s="4">
        <v>2</v>
      </c>
      <c r="E5" s="4">
        <f t="shared" si="0"/>
        <v>2</v>
      </c>
    </row>
    <row r="6" spans="1:5" x14ac:dyDescent="0.4">
      <c r="A6" s="9">
        <v>4</v>
      </c>
      <c r="B6" s="7">
        <v>4</v>
      </c>
      <c r="C6" s="4">
        <v>4</v>
      </c>
      <c r="D6" s="4">
        <v>2</v>
      </c>
      <c r="E6" s="4">
        <f t="shared" si="0"/>
        <v>2</v>
      </c>
    </row>
    <row r="7" spans="1:5" x14ac:dyDescent="0.4">
      <c r="A7" s="9">
        <v>5</v>
      </c>
      <c r="B7" s="7">
        <v>1</v>
      </c>
      <c r="C7" s="4">
        <v>1</v>
      </c>
      <c r="D7" s="4">
        <v>2</v>
      </c>
      <c r="E7" s="4">
        <f t="shared" si="0"/>
        <v>2</v>
      </c>
    </row>
    <row r="8" spans="1:5" x14ac:dyDescent="0.4">
      <c r="A8" s="9">
        <v>6</v>
      </c>
      <c r="B8" s="7">
        <v>4</v>
      </c>
      <c r="C8" s="4">
        <v>4</v>
      </c>
      <c r="D8" s="4">
        <v>3</v>
      </c>
      <c r="E8" s="4">
        <f t="shared" si="0"/>
        <v>3</v>
      </c>
    </row>
    <row r="9" spans="1:5" x14ac:dyDescent="0.4">
      <c r="A9" s="9">
        <v>7</v>
      </c>
      <c r="B9" s="7">
        <v>5</v>
      </c>
      <c r="C9" s="4">
        <v>5</v>
      </c>
      <c r="D9" s="4">
        <v>2</v>
      </c>
      <c r="E9" s="4">
        <f t="shared" si="0"/>
        <v>2</v>
      </c>
    </row>
    <row r="10" spans="1:5" x14ac:dyDescent="0.4">
      <c r="A10" s="9">
        <v>8</v>
      </c>
      <c r="B10" s="7">
        <v>4</v>
      </c>
      <c r="C10" s="4">
        <v>4</v>
      </c>
      <c r="D10" s="4">
        <v>2</v>
      </c>
      <c r="E10" s="4">
        <f t="shared" si="0"/>
        <v>2</v>
      </c>
    </row>
    <row r="11" spans="1:5" x14ac:dyDescent="0.4">
      <c r="A11" s="9">
        <v>9</v>
      </c>
      <c r="B11" s="7">
        <v>3</v>
      </c>
      <c r="C11" s="4">
        <v>3</v>
      </c>
      <c r="D11" s="4">
        <v>2</v>
      </c>
      <c r="E11" s="4">
        <f t="shared" si="0"/>
        <v>2</v>
      </c>
    </row>
    <row r="12" spans="1:5" x14ac:dyDescent="0.4">
      <c r="A12" s="9">
        <v>10</v>
      </c>
      <c r="B12" s="7">
        <v>2</v>
      </c>
      <c r="C12" s="4">
        <v>2</v>
      </c>
      <c r="D12" s="4">
        <v>2</v>
      </c>
      <c r="E12" s="4">
        <f t="shared" si="0"/>
        <v>2</v>
      </c>
    </row>
    <row r="13" spans="1:5" x14ac:dyDescent="0.4">
      <c r="A13" s="9">
        <v>11</v>
      </c>
      <c r="B13" s="7">
        <v>2</v>
      </c>
      <c r="C13" s="4">
        <v>2</v>
      </c>
      <c r="D13" s="4">
        <v>2</v>
      </c>
      <c r="E13" s="4">
        <f t="shared" si="0"/>
        <v>2</v>
      </c>
    </row>
    <row r="14" spans="1:5" x14ac:dyDescent="0.4">
      <c r="A14" s="9">
        <v>12</v>
      </c>
      <c r="B14" s="7">
        <v>2</v>
      </c>
      <c r="C14" s="4">
        <v>2</v>
      </c>
      <c r="D14" s="4">
        <v>2</v>
      </c>
      <c r="E14" s="4">
        <f t="shared" si="0"/>
        <v>2</v>
      </c>
    </row>
    <row r="15" spans="1:5" x14ac:dyDescent="0.4">
      <c r="A15" s="9">
        <v>13</v>
      </c>
      <c r="B15" s="7">
        <v>4</v>
      </c>
      <c r="C15" s="4">
        <v>4</v>
      </c>
      <c r="D15" s="4">
        <v>3</v>
      </c>
      <c r="E15" s="4">
        <f t="shared" si="0"/>
        <v>3</v>
      </c>
    </row>
    <row r="16" spans="1:5" x14ac:dyDescent="0.4">
      <c r="A16" s="9">
        <v>14</v>
      </c>
      <c r="B16" s="7">
        <v>1</v>
      </c>
      <c r="C16" s="4">
        <v>1</v>
      </c>
      <c r="D16" s="4">
        <v>3</v>
      </c>
      <c r="E16" s="4">
        <f t="shared" si="0"/>
        <v>3</v>
      </c>
    </row>
    <row r="17" spans="1:5" x14ac:dyDescent="0.4">
      <c r="A17" s="9">
        <v>15</v>
      </c>
      <c r="B17" s="7">
        <v>3</v>
      </c>
      <c r="C17" s="4">
        <v>3</v>
      </c>
      <c r="D17" s="4">
        <v>2</v>
      </c>
      <c r="E17" s="4">
        <f t="shared" si="0"/>
        <v>2</v>
      </c>
    </row>
    <row r="18" spans="1:5" x14ac:dyDescent="0.4">
      <c r="A18" s="9">
        <v>16</v>
      </c>
      <c r="B18" s="7">
        <v>2</v>
      </c>
      <c r="C18" s="4">
        <v>2</v>
      </c>
      <c r="D18" s="4">
        <v>2</v>
      </c>
      <c r="E18" s="4">
        <f t="shared" si="0"/>
        <v>2</v>
      </c>
    </row>
    <row r="19" spans="1:5" x14ac:dyDescent="0.4">
      <c r="A19" s="9">
        <v>17</v>
      </c>
      <c r="B19" s="7">
        <v>3</v>
      </c>
      <c r="C19" s="4">
        <v>3</v>
      </c>
      <c r="D19" s="4">
        <v>2</v>
      </c>
      <c r="E19" s="4">
        <f t="shared" si="0"/>
        <v>2</v>
      </c>
    </row>
    <row r="20" spans="1:5" x14ac:dyDescent="0.4">
      <c r="A20" s="9">
        <v>18</v>
      </c>
      <c r="B20" s="7">
        <v>3</v>
      </c>
      <c r="C20" s="4">
        <v>3</v>
      </c>
      <c r="D20" s="4">
        <v>2</v>
      </c>
      <c r="E20" s="4">
        <f t="shared" si="0"/>
        <v>2</v>
      </c>
    </row>
    <row r="21" spans="1:5" x14ac:dyDescent="0.4">
      <c r="A21" s="9">
        <v>19</v>
      </c>
      <c r="B21" s="7">
        <v>1</v>
      </c>
      <c r="C21" s="4">
        <v>1</v>
      </c>
      <c r="D21" s="4">
        <v>2</v>
      </c>
      <c r="E21" s="4">
        <f t="shared" si="0"/>
        <v>2</v>
      </c>
    </row>
    <row r="22" spans="1:5" x14ac:dyDescent="0.4">
      <c r="A22" s="9">
        <v>20</v>
      </c>
      <c r="B22" s="7">
        <v>1</v>
      </c>
      <c r="C22" s="4">
        <v>1</v>
      </c>
      <c r="D22" s="4">
        <v>2</v>
      </c>
      <c r="E22" s="4">
        <f t="shared" si="0"/>
        <v>2</v>
      </c>
    </row>
    <row r="23" spans="1:5" x14ac:dyDescent="0.4">
      <c r="A23" s="9">
        <v>21</v>
      </c>
      <c r="B23" s="7">
        <v>5</v>
      </c>
      <c r="C23" s="4">
        <v>5</v>
      </c>
      <c r="D23" s="4">
        <v>2</v>
      </c>
      <c r="E23" s="4">
        <f t="shared" si="0"/>
        <v>2</v>
      </c>
    </row>
    <row r="24" spans="1:5" x14ac:dyDescent="0.4">
      <c r="A24" s="9">
        <v>22</v>
      </c>
      <c r="B24" s="7">
        <v>5</v>
      </c>
      <c r="C24" s="4">
        <v>5</v>
      </c>
      <c r="D24" s="4">
        <v>2</v>
      </c>
      <c r="E24" s="4">
        <f t="shared" si="0"/>
        <v>2</v>
      </c>
    </row>
    <row r="25" spans="1:5" x14ac:dyDescent="0.4">
      <c r="A25" s="9">
        <v>23</v>
      </c>
      <c r="B25" s="7">
        <v>1</v>
      </c>
      <c r="C25" s="4">
        <v>1</v>
      </c>
      <c r="D25" s="4">
        <v>2</v>
      </c>
      <c r="E25" s="4">
        <f t="shared" si="0"/>
        <v>2</v>
      </c>
    </row>
    <row r="26" spans="1:5" x14ac:dyDescent="0.4">
      <c r="A26" s="9">
        <v>24</v>
      </c>
      <c r="B26" s="7">
        <v>5</v>
      </c>
      <c r="C26" s="4">
        <v>5</v>
      </c>
      <c r="D26" s="4">
        <v>2</v>
      </c>
      <c r="E26" s="4">
        <f t="shared" si="0"/>
        <v>2</v>
      </c>
    </row>
    <row r="27" spans="1:5" x14ac:dyDescent="0.4">
      <c r="A27" s="9">
        <v>25</v>
      </c>
      <c r="B27" s="7">
        <v>4</v>
      </c>
      <c r="C27" s="4">
        <v>4</v>
      </c>
      <c r="D27" s="4">
        <v>2</v>
      </c>
      <c r="E27" s="4">
        <f t="shared" si="0"/>
        <v>2</v>
      </c>
    </row>
    <row r="28" spans="1:5" x14ac:dyDescent="0.4">
      <c r="A28" s="9">
        <v>26</v>
      </c>
      <c r="B28" s="7">
        <v>4</v>
      </c>
      <c r="C28" s="4">
        <v>4</v>
      </c>
      <c r="D28" s="4">
        <v>2</v>
      </c>
      <c r="E28" s="4">
        <f t="shared" si="0"/>
        <v>2</v>
      </c>
    </row>
    <row r="29" spans="1:5" x14ac:dyDescent="0.4">
      <c r="A29" s="9">
        <v>27</v>
      </c>
      <c r="B29" s="7">
        <v>5</v>
      </c>
      <c r="C29" s="4">
        <v>5</v>
      </c>
      <c r="D29" s="4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4</v>
      </c>
      <c r="D30" s="4">
        <v>2</v>
      </c>
      <c r="E30" s="4">
        <f t="shared" si="0"/>
        <v>2</v>
      </c>
    </row>
    <row r="31" spans="1:5" x14ac:dyDescent="0.4">
      <c r="A31" s="9">
        <v>29</v>
      </c>
      <c r="B31" s="7">
        <v>2</v>
      </c>
      <c r="C31" s="4">
        <v>2</v>
      </c>
      <c r="D31" s="4">
        <v>3</v>
      </c>
      <c r="E31" s="4">
        <f t="shared" si="0"/>
        <v>3</v>
      </c>
    </row>
    <row r="32" spans="1:5" x14ac:dyDescent="0.4">
      <c r="A32" s="9">
        <v>30</v>
      </c>
      <c r="B32" s="7">
        <v>5</v>
      </c>
      <c r="C32" s="4">
        <v>5</v>
      </c>
      <c r="D32" s="4">
        <v>3</v>
      </c>
      <c r="E32" s="4">
        <f t="shared" si="0"/>
        <v>3</v>
      </c>
    </row>
    <row r="33" spans="1:5" x14ac:dyDescent="0.4">
      <c r="A33" s="9">
        <v>31</v>
      </c>
      <c r="B33" s="7">
        <v>4</v>
      </c>
      <c r="C33" s="4">
        <v>4</v>
      </c>
      <c r="D33" s="4">
        <v>2</v>
      </c>
      <c r="E33" s="4">
        <f t="shared" si="0"/>
        <v>2</v>
      </c>
    </row>
    <row r="34" spans="1:5" x14ac:dyDescent="0.4">
      <c r="A34" s="9">
        <v>32</v>
      </c>
      <c r="B34" s="7">
        <v>2</v>
      </c>
      <c r="C34" s="4">
        <v>2</v>
      </c>
      <c r="D34" s="4">
        <v>2</v>
      </c>
      <c r="E34" s="4">
        <f t="shared" si="0"/>
        <v>2</v>
      </c>
    </row>
    <row r="35" spans="1:5" x14ac:dyDescent="0.4">
      <c r="A35" s="9">
        <v>33</v>
      </c>
      <c r="B35" s="7">
        <v>4</v>
      </c>
      <c r="C35" s="4">
        <v>4</v>
      </c>
      <c r="D35" s="4">
        <v>3</v>
      </c>
      <c r="E35" s="4">
        <f t="shared" si="0"/>
        <v>3</v>
      </c>
    </row>
    <row r="36" spans="1:5" x14ac:dyDescent="0.4">
      <c r="A36" s="9">
        <v>34</v>
      </c>
      <c r="B36" s="7">
        <v>2</v>
      </c>
      <c r="C36" s="4">
        <v>1</v>
      </c>
      <c r="D36" s="4">
        <v>3</v>
      </c>
      <c r="E36" s="4">
        <f t="shared" si="0"/>
        <v>0</v>
      </c>
    </row>
    <row r="37" spans="1:5" x14ac:dyDescent="0.4">
      <c r="A37" s="9">
        <v>35</v>
      </c>
      <c r="B37" s="7">
        <v>3</v>
      </c>
      <c r="C37" s="4">
        <v>3</v>
      </c>
      <c r="D37" s="4">
        <v>2</v>
      </c>
      <c r="E37" s="4">
        <f t="shared" si="0"/>
        <v>2</v>
      </c>
    </row>
    <row r="38" spans="1:5" x14ac:dyDescent="0.4">
      <c r="A38" s="9">
        <v>36</v>
      </c>
      <c r="B38" s="7">
        <v>2</v>
      </c>
      <c r="C38" s="4">
        <v>2</v>
      </c>
      <c r="D38" s="4">
        <v>2</v>
      </c>
      <c r="E38" s="4">
        <f t="shared" si="0"/>
        <v>2</v>
      </c>
    </row>
    <row r="39" spans="1:5" x14ac:dyDescent="0.4">
      <c r="A39" s="9">
        <v>37</v>
      </c>
      <c r="B39" s="7">
        <v>5</v>
      </c>
      <c r="C39" s="4">
        <v>5</v>
      </c>
      <c r="D39" s="4">
        <v>3</v>
      </c>
      <c r="E39" s="4">
        <f t="shared" si="0"/>
        <v>3</v>
      </c>
    </row>
    <row r="40" spans="1:5" x14ac:dyDescent="0.4">
      <c r="A40" s="9">
        <v>38</v>
      </c>
      <c r="B40" s="7">
        <v>3</v>
      </c>
      <c r="C40" s="4">
        <v>3</v>
      </c>
      <c r="D40" s="4">
        <v>2</v>
      </c>
      <c r="E40" s="4">
        <f t="shared" si="0"/>
        <v>2</v>
      </c>
    </row>
    <row r="41" spans="1:5" x14ac:dyDescent="0.4">
      <c r="A41" s="9">
        <v>39</v>
      </c>
      <c r="B41" s="7">
        <v>3</v>
      </c>
      <c r="C41" s="4">
        <v>3</v>
      </c>
      <c r="D41" s="4">
        <v>3</v>
      </c>
      <c r="E41" s="4">
        <f t="shared" si="0"/>
        <v>3</v>
      </c>
    </row>
    <row r="42" spans="1:5" x14ac:dyDescent="0.4">
      <c r="A42" s="9">
        <v>40</v>
      </c>
      <c r="B42" s="7">
        <v>5</v>
      </c>
      <c r="C42" s="4">
        <v>5</v>
      </c>
      <c r="D42" s="4">
        <v>2</v>
      </c>
      <c r="E42" s="4">
        <f t="shared" si="0"/>
        <v>2</v>
      </c>
    </row>
    <row r="43" spans="1:5" x14ac:dyDescent="0.4">
      <c r="A43" s="9">
        <v>41</v>
      </c>
      <c r="B43" s="7">
        <v>5</v>
      </c>
      <c r="C43" s="4">
        <v>5</v>
      </c>
      <c r="D43" s="4">
        <v>2</v>
      </c>
      <c r="E43" s="4">
        <f t="shared" si="0"/>
        <v>2</v>
      </c>
    </row>
    <row r="44" spans="1:5" x14ac:dyDescent="0.4">
      <c r="A44" s="9">
        <v>42</v>
      </c>
      <c r="B44" s="7">
        <v>4</v>
      </c>
      <c r="C44" s="4">
        <v>4</v>
      </c>
      <c r="D44" s="4">
        <v>2</v>
      </c>
      <c r="E44" s="4">
        <f t="shared" si="0"/>
        <v>2</v>
      </c>
    </row>
    <row r="45" spans="1:5" x14ac:dyDescent="0.4">
      <c r="A45" s="9">
        <v>43</v>
      </c>
      <c r="B45" s="7">
        <v>3</v>
      </c>
      <c r="C45" s="4">
        <v>3</v>
      </c>
      <c r="D45" s="4">
        <v>3</v>
      </c>
      <c r="E45" s="4">
        <f t="shared" si="0"/>
        <v>3</v>
      </c>
    </row>
    <row r="46" spans="1:5" x14ac:dyDescent="0.4">
      <c r="A46" s="9">
        <v>44</v>
      </c>
      <c r="B46" s="7">
        <v>4</v>
      </c>
      <c r="C46" s="4">
        <v>4</v>
      </c>
      <c r="D46" s="4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5</v>
      </c>
      <c r="C47" s="12">
        <v>5</v>
      </c>
      <c r="D47" s="4">
        <v>2</v>
      </c>
      <c r="E47" s="12">
        <f t="shared" si="0"/>
        <v>2</v>
      </c>
    </row>
    <row r="48" spans="1:5" ht="18" thickTop="1" x14ac:dyDescent="0.4">
      <c r="A48" s="29" t="s">
        <v>42</v>
      </c>
      <c r="B48" s="29"/>
      <c r="C48" s="30">
        <f>SUM(E3:E47)</f>
        <v>97</v>
      </c>
      <c r="D48" s="30"/>
      <c r="E48" s="30"/>
    </row>
    <row r="49" spans="1:5" x14ac:dyDescent="0.4">
      <c r="A49" s="31" t="s">
        <v>7</v>
      </c>
      <c r="B49" s="31"/>
      <c r="C49" s="32" t="str">
        <f>IF(C48&gt;=90,"1등급",IF(C48&gt;=80,"2등급",IF(C48&gt;=70,"3등급",IF(C48&gt;=60,"4등급","죽어라"))))</f>
        <v>1등급</v>
      </c>
      <c r="D49" s="32"/>
      <c r="E49" s="32"/>
    </row>
  </sheetData>
  <mergeCells count="5">
    <mergeCell ref="A1:E1"/>
    <mergeCell ref="A48:B48"/>
    <mergeCell ref="C48:E48"/>
    <mergeCell ref="A49:B49"/>
    <mergeCell ref="C49:E49"/>
  </mergeCells>
  <phoneticPr fontId="1" type="noConversion"/>
  <conditionalFormatting sqref="C3:C47">
    <cfRule type="expression" dxfId="2" priority="1">
      <formula>B3&lt;&gt;C3</formula>
    </cfRule>
    <cfRule type="expression" dxfId="1" priority="2">
      <formula>B3=C3</formula>
    </cfRule>
    <cfRule type="expression" dxfId="0" priority="3">
      <formula>"IF(B3=C3)"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DB</vt:lpstr>
      <vt:lpstr>score_card</vt:lpstr>
      <vt:lpstr>mock_01</vt:lpstr>
      <vt:lpstr>mock_02</vt:lpstr>
      <vt:lpstr>mock_03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2023-07-26T14:40:02Z</dcterms:modified>
</cp:coreProperties>
</file>